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drian/Source/Repos/saas-contact-list-app/documentation/"/>
    </mc:Choice>
  </mc:AlternateContent>
  <xr:revisionPtr revIDLastSave="0" documentId="8_{60D59713-9E91-AB42-A4EF-B3AC1946971A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User Stories (MoSCoW)" sheetId="1" r:id="rId1"/>
  </sheets>
  <definedNames>
    <definedName name="_xlnm._FilterDatabase" localSheetId="0" hidden="1">'User Stories (MoSCoW)'!$A$9:$K$50</definedName>
    <definedName name="_xlnm.Print_Area" localSheetId="0">'User Stories (MoSCoW)'!$A$1:$M$18</definedName>
    <definedName name="_xlnm.Print_Titles" localSheetId="0">'User Stories (MoSCoW)'!$1:$9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E23" i="1"/>
  <c r="G23" i="1"/>
  <c r="I23" i="1"/>
  <c r="C24" i="1"/>
  <c r="E24" i="1"/>
  <c r="G24" i="1"/>
  <c r="I24" i="1"/>
  <c r="C25" i="1"/>
  <c r="E25" i="1"/>
  <c r="G25" i="1"/>
  <c r="I25" i="1"/>
  <c r="C26" i="1"/>
  <c r="E26" i="1"/>
  <c r="G26" i="1"/>
  <c r="I26" i="1"/>
  <c r="C33" i="1"/>
  <c r="E33" i="1"/>
  <c r="G33" i="1"/>
  <c r="I33" i="1"/>
  <c r="C34" i="1"/>
  <c r="E34" i="1"/>
  <c r="G34" i="1"/>
  <c r="I34" i="1"/>
  <c r="C32" i="1"/>
  <c r="E32" i="1"/>
  <c r="G32" i="1"/>
  <c r="I32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1" i="1"/>
  <c r="G30" i="1"/>
  <c r="G29" i="1"/>
  <c r="G28" i="1"/>
  <c r="G27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1" i="1"/>
  <c r="I30" i="1"/>
  <c r="I29" i="1"/>
  <c r="I28" i="1"/>
  <c r="I27" i="1"/>
  <c r="I22" i="1"/>
  <c r="I21" i="1"/>
  <c r="I20" i="1"/>
  <c r="I19" i="1"/>
  <c r="I18" i="1"/>
  <c r="I17" i="1"/>
  <c r="I16" i="1"/>
  <c r="I15" i="1"/>
  <c r="I14" i="1"/>
  <c r="I13" i="1"/>
  <c r="I12" i="1"/>
  <c r="I1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1" i="1"/>
  <c r="E30" i="1"/>
  <c r="E29" i="1"/>
  <c r="E28" i="1"/>
  <c r="E27" i="1"/>
  <c r="E22" i="1"/>
  <c r="E21" i="1"/>
  <c r="E20" i="1"/>
  <c r="E19" i="1"/>
  <c r="E18" i="1"/>
  <c r="E17" i="1"/>
  <c r="E16" i="1"/>
  <c r="E15" i="1"/>
  <c r="E14" i="1"/>
  <c r="E13" i="1"/>
  <c r="E12" i="1"/>
  <c r="E11" i="1"/>
  <c r="C11" i="1"/>
  <c r="C12" i="1"/>
  <c r="C13" i="1"/>
  <c r="C14" i="1"/>
  <c r="C15" i="1"/>
  <c r="C16" i="1"/>
  <c r="C17" i="1"/>
  <c r="C18" i="1"/>
  <c r="C19" i="1"/>
  <c r="C20" i="1"/>
  <c r="C21" i="1"/>
  <c r="C22" i="1"/>
  <c r="C27" i="1"/>
  <c r="C28" i="1"/>
  <c r="C29" i="1"/>
  <c r="C30" i="1"/>
  <c r="C31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I10" i="1"/>
  <c r="E10" i="1"/>
  <c r="C10" i="1"/>
</calcChain>
</file>

<file path=xl/sharedStrings.xml><?xml version="1.0" encoding="utf-8"?>
<sst xmlns="http://schemas.openxmlformats.org/spreadsheetml/2006/main" count="202" uniqueCount="129">
  <si>
    <t>Project:</t>
  </si>
  <si>
    <t>Personal Task &amp; Focus Tracker</t>
  </si>
  <si>
    <t>Feature Analysis Matrix</t>
  </si>
  <si>
    <t>Client:</t>
  </si>
  <si>
    <t>Contact:</t>
  </si>
  <si>
    <t>Phone:</t>
  </si>
  <si>
    <t>+000-0-0000-0000</t>
  </si>
  <si>
    <t>Commenced:</t>
  </si>
  <si>
    <t>dd/mm/yyyy</t>
  </si>
  <si>
    <t>Status:</t>
  </si>
  <si>
    <t>Analysis</t>
  </si>
  <si>
    <t>eMail:</t>
  </si>
  <si>
    <t>Date Due:</t>
  </si>
  <si>
    <t>Developers:</t>
  </si>
  <si>
    <t>REQUIRED</t>
  </si>
  <si>
    <t>Implement</t>
  </si>
  <si>
    <t>OPTIONAL</t>
  </si>
  <si>
    <t>Date Added</t>
  </si>
  <si>
    <t>ID</t>
  </si>
  <si>
    <t>As A</t>
  </si>
  <si>
    <t>User Type/Role</t>
  </si>
  <si>
    <t>I</t>
  </si>
  <si>
    <t>MoSCoW Priority</t>
  </si>
  <si>
    <t>be able to</t>
  </si>
  <si>
    <t>Feature Description</t>
  </si>
  <si>
    <t>So That</t>
  </si>
  <si>
    <t>Business Reason</t>
  </si>
  <si>
    <t>Version</t>
  </si>
  <si>
    <t>Developer (s) Responsible</t>
  </si>
  <si>
    <t>Acceptance Criteria</t>
  </si>
  <si>
    <t>1</t>
  </si>
  <si>
    <t>1.1</t>
  </si>
  <si>
    <t>Guest/Visitor</t>
  </si>
  <si>
    <t>must</t>
  </si>
  <si>
    <t>1.2</t>
  </si>
  <si>
    <t>Registered User</t>
  </si>
  <si>
    <t>login</t>
  </si>
  <si>
    <t>1.3</t>
  </si>
  <si>
    <t>logout</t>
  </si>
  <si>
    <t>1.4</t>
  </si>
  <si>
    <t>recover password</t>
  </si>
  <si>
    <t>2</t>
  </si>
  <si>
    <t>User Administration</t>
  </si>
  <si>
    <t>2.1</t>
  </si>
  <si>
    <t>Staff, Admin, Super-Admin</t>
  </si>
  <si>
    <t>Browse / Read all users at my access level or below</t>
  </si>
  <si>
    <t>we are able to maintain consistent data</t>
  </si>
  <si>
    <t>2.2</t>
  </si>
  <si>
    <t>Edit a user that is myself or below the access level</t>
  </si>
  <si>
    <t>2.3</t>
  </si>
  <si>
    <t>Add a user that is below my access level</t>
  </si>
  <si>
    <t>2.4</t>
  </si>
  <si>
    <t>Delete a user that is not above my access level</t>
  </si>
  <si>
    <t>2.5</t>
  </si>
  <si>
    <t>Search users</t>
  </si>
  <si>
    <t>3</t>
  </si>
  <si>
    <t>3.1</t>
  </si>
  <si>
    <t>3.2</t>
  </si>
  <si>
    <t>should</t>
  </si>
  <si>
    <t xml:space="preserve"> </t>
  </si>
  <si>
    <t>Quick How To:</t>
  </si>
  <si>
    <t>To add a new line, tab to the end and then press tab once more. This line will me moved down and a new table row added.</t>
  </si>
  <si>
    <t>You may need to do a little formatting clean-up. Best way is to highlight a row (eg 10), press the format painter button, then click in column A of the row you wish to cleanup.</t>
  </si>
  <si>
    <t>ID is a text field, simply type in the numbers with full stops (".") between digits to show "sub-features".</t>
  </si>
  <si>
    <t>4</t>
  </si>
  <si>
    <t>4.1</t>
  </si>
  <si>
    <t>4.2</t>
  </si>
  <si>
    <t>4.3</t>
  </si>
  <si>
    <t>4.4</t>
  </si>
  <si>
    <t>4.5</t>
  </si>
  <si>
    <t>Contact</t>
  </si>
  <si>
    <t>create my own contacts</t>
  </si>
  <si>
    <t>edit my contacts</t>
  </si>
  <si>
    <t>browse and read my contacts</t>
  </si>
  <si>
    <t>delete a contact</t>
  </si>
  <si>
    <t>retrieve a deleted contact</t>
  </si>
  <si>
    <t>retrieve all deleted cotnacts</t>
  </si>
  <si>
    <t>remove permamently deleted contacts</t>
  </si>
  <si>
    <t>register and verify email address</t>
  </si>
  <si>
    <t>I may use the features of the application</t>
  </si>
  <si>
    <t>delete my account</t>
  </si>
  <si>
    <t>1.5</t>
  </si>
  <si>
    <t>I may remove all my data and cease to use the app</t>
  </si>
  <si>
    <t>Categories</t>
  </si>
  <si>
    <t>I may group my contacts</t>
  </si>
  <si>
    <t>add personal categories</t>
  </si>
  <si>
    <t>delete personal categories</t>
  </si>
  <si>
    <t>browse personal categories</t>
  </si>
  <si>
    <t>edit my personal categories</t>
  </si>
  <si>
    <t>restore the default categories</t>
  </si>
  <si>
    <t>I may restore categories that are provided to me by default</t>
  </si>
  <si>
    <t>Adrian Gould</t>
  </si>
  <si>
    <t>Adrian</t>
  </si>
  <si>
    <t>adrian.gould@nmtafe.wa.edu.au</t>
  </si>
  <si>
    <t>create default categories</t>
  </si>
  <si>
    <t>4.6</t>
  </si>
  <si>
    <t>4.7</t>
  </si>
  <si>
    <t>edit default categories</t>
  </si>
  <si>
    <t>delete default categories</t>
  </si>
  <si>
    <t>browse default categories</t>
  </si>
  <si>
    <t>Client, Staff, Admin</t>
  </si>
  <si>
    <t>I may maintain my own list of contacts</t>
  </si>
  <si>
    <t>I may tidy up my personal contacts</t>
  </si>
  <si>
    <t>I may recover accidentally deleted contacts</t>
  </si>
  <si>
    <t>I may keep my contact details up to date</t>
  </si>
  <si>
    <t>to maintain a suitable category list</t>
  </si>
  <si>
    <t>to identify categories to maintain</t>
  </si>
  <si>
    <t>we are able to maintain a list of default categories fo all users</t>
  </si>
  <si>
    <t>filter contacts by category</t>
  </si>
  <si>
    <t>search contacts by name, or other details</t>
  </si>
  <si>
    <t>find a contact quickly</t>
  </si>
  <si>
    <t>sort my contacts by name, location, category, etc</t>
  </si>
  <si>
    <t>User Registration and Authentication</t>
  </si>
  <si>
    <t>Administration Dashboard</t>
  </si>
  <si>
    <t>4.3.1</t>
  </si>
  <si>
    <t>4.3.2</t>
  </si>
  <si>
    <t>4.3.3</t>
  </si>
  <si>
    <t>view a system status dashboard with navigation to management tasks</t>
  </si>
  <si>
    <t>view a authenticated user dashboard with summary information and access to personal contact and personal category management tasks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</si>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</sst>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2"/>
      <name val="Aptos Narrow"/>
      <family val="2"/>
      <scheme val="minor"/>
    </font>
    <font>
      <sz val="48"/>
      <color theme="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749961851863155"/>
        <bgColor indexed="65"/>
      </patternFill>
    </fill>
    <fill>
      <patternFill patternType="solid">
        <fgColor theme="2" tint="-0.89999084444715716"/>
        <bgColor indexed="65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2" tint="-0.499984740745262"/>
        <bgColor indexed="65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2" tint="-0.499984740745262"/>
        <bgColor theme="2" tint="-0.499984740745262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59">
    <xf numFmtId="0" fontId="0" fillId="0" borderId="0" xfId="0"/>
    <xf numFmtId="0" fontId="6" fillId="0" borderId="8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5" fillId="2" borderId="4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1"/>
    </xf>
    <xf numFmtId="0" fontId="5" fillId="2" borderId="7" xfId="0" applyFont="1" applyFill="1" applyBorder="1" applyAlignment="1">
      <alignment horizontal="left" vertical="center" indent="1"/>
    </xf>
    <xf numFmtId="0" fontId="5" fillId="2" borderId="8" xfId="0" applyFont="1" applyFill="1" applyBorder="1" applyAlignment="1">
      <alignment horizontal="left" vertical="center" indent="1"/>
    </xf>
    <xf numFmtId="0" fontId="9" fillId="6" borderId="17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left" vertical="center" wrapText="1" indent="1"/>
    </xf>
    <xf numFmtId="0" fontId="10" fillId="4" borderId="15" xfId="0" applyFont="1" applyFill="1" applyBorder="1" applyAlignment="1">
      <alignment horizontal="left" vertical="center" wrapText="1" indent="1"/>
    </xf>
    <xf numFmtId="0" fontId="10" fillId="4" borderId="16" xfId="0" applyFont="1" applyFill="1" applyBorder="1" applyAlignment="1">
      <alignment horizontal="left" vertical="center" wrapText="1" indent="1"/>
    </xf>
    <xf numFmtId="0" fontId="11" fillId="5" borderId="18" xfId="0" applyFont="1" applyFill="1" applyBorder="1" applyAlignment="1">
      <alignment horizontal="left" vertical="center" wrapText="1" indent="1"/>
    </xf>
    <xf numFmtId="0" fontId="11" fillId="5" borderId="19" xfId="0" applyFont="1" applyFill="1" applyBorder="1" applyAlignment="1">
      <alignment horizontal="left" vertical="center" wrapText="1" indent="1"/>
    </xf>
    <xf numFmtId="0" fontId="11" fillId="6" borderId="20" xfId="0" applyFont="1" applyFill="1" applyBorder="1" applyAlignment="1">
      <alignment horizontal="left" vertical="center" wrapText="1" indent="1"/>
    </xf>
    <xf numFmtId="0" fontId="0" fillId="0" borderId="0" xfId="0" applyAlignment="1">
      <alignment vertical="top"/>
    </xf>
    <xf numFmtId="14" fontId="0" fillId="0" borderId="18" xfId="0" applyNumberFormat="1" applyBorder="1" applyAlignment="1">
      <alignment horizontal="left" vertical="center" wrapText="1" indent="1"/>
    </xf>
    <xf numFmtId="49" fontId="0" fillId="0" borderId="0" xfId="0" applyNumberFormat="1" applyAlignment="1">
      <alignment horizontal="left" vertical="center" wrapText="1" indent="1"/>
    </xf>
    <xf numFmtId="0" fontId="12" fillId="7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19" xfId="0" applyBorder="1" applyAlignment="1">
      <alignment horizontal="left" vertical="center" wrapText="1" indent="1"/>
    </xf>
    <xf numFmtId="49" fontId="0" fillId="0" borderId="18" xfId="0" applyNumberFormat="1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1"/>
    </xf>
    <xf numFmtId="0" fontId="0" fillId="0" borderId="0" xfId="0" quotePrefix="1"/>
    <xf numFmtId="0" fontId="13" fillId="0" borderId="0" xfId="0" applyFont="1"/>
    <xf numFmtId="0" fontId="0" fillId="0" borderId="0" xfId="0" applyAlignment="1">
      <alignment horizontal="left" indent="1"/>
    </xf>
    <xf numFmtId="49" fontId="0" fillId="8" borderId="0" xfId="0" applyNumberFormat="1" applyFill="1" applyAlignment="1">
      <alignment horizontal="left" vertical="center" wrapText="1" indent="1"/>
    </xf>
    <xf numFmtId="0" fontId="0" fillId="8" borderId="0" xfId="0" applyFill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49" fontId="1" fillId="8" borderId="0" xfId="0" applyNumberFormat="1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19" xfId="0" applyFont="1" applyBorder="1" applyAlignment="1">
      <alignment horizontal="left" vertical="center" wrapText="1" indent="1"/>
    </xf>
    <xf numFmtId="0" fontId="12" fillId="9" borderId="0" xfId="0" applyFont="1" applyFill="1" applyAlignment="1">
      <alignment horizontal="left" vertical="center" wrapText="1" indent="1"/>
    </xf>
    <xf numFmtId="49" fontId="1" fillId="0" borderId="18" xfId="0" applyNumberFormat="1" applyFont="1" applyBorder="1" applyAlignment="1">
      <alignment horizontal="left" vertical="center" wrapText="1" indent="2"/>
    </xf>
    <xf numFmtId="0" fontId="1" fillId="0" borderId="20" xfId="0" applyFont="1" applyBorder="1" applyAlignment="1">
      <alignment horizontal="left" vertical="center" wrapText="1" indent="1"/>
    </xf>
    <xf numFmtId="49" fontId="1" fillId="0" borderId="0" xfId="0" quotePrefix="1" applyNumberFormat="1" applyFont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7" fillId="0" borderId="5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left" vertical="center" indent="1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14" fontId="6" fillId="0" borderId="8" xfId="0" applyNumberFormat="1" applyFont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1"/>
    </xf>
    <xf numFmtId="0" fontId="5" fillId="2" borderId="10" xfId="0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1">
    <dxf>
      <font>
        <b/>
        <i val="0"/>
        <color rgb="FFFFC00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theme="0"/>
      </font>
      <fill>
        <patternFill patternType="solid">
          <fgColor theme="5"/>
          <bgColor theme="5"/>
        </patternFill>
      </fill>
    </dxf>
    <dxf>
      <font>
        <b/>
        <i val="0"/>
        <color theme="0"/>
      </font>
      <fill>
        <patternFill patternType="solid">
          <fgColor theme="8"/>
          <bgColor theme="8"/>
        </patternFill>
      </fill>
    </dxf>
    <dxf>
      <font>
        <b/>
        <i/>
        <color theme="0"/>
      </font>
      <fill>
        <patternFill patternType="solid">
          <fgColor theme="9"/>
          <bgColor theme="9"/>
        </patternFill>
      </fill>
    </dxf>
    <dxf>
      <font>
        <b/>
        <i/>
        <color theme="0"/>
      </font>
      <fill>
        <patternFill patternType="solid">
          <fgColor theme="9"/>
          <bgColor theme="9"/>
        </patternFill>
      </fill>
    </dxf>
    <dxf>
      <font>
        <b/>
        <i/>
        <color theme="0"/>
      </font>
      <fill>
        <patternFill patternType="solid">
          <fgColor theme="9"/>
          <bgColor theme="9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strike val="0"/>
        <u val="none"/>
        <vertAlign val="baseline"/>
        <sz val="11"/>
        <name val="Aptos Narrow"/>
        <scheme val="minor"/>
      </font>
      <border>
        <left style="medium">
          <color theme="1"/>
        </left>
        <right style="medium">
          <color theme="1"/>
        </right>
        <top/>
        <bottom/>
      </border>
    </dxf>
    <dxf>
      <font>
        <strike val="0"/>
        <u val="none"/>
        <vertAlign val="baseline"/>
        <sz val="11"/>
        <name val="Aptos Narrow"/>
        <scheme val="minor"/>
      </font>
      <border>
        <left/>
        <right style="medium">
          <color theme="1"/>
        </right>
        <top/>
        <bottom/>
      </border>
    </dxf>
    <dxf>
      <font>
        <strike val="0"/>
        <u val="none"/>
        <vertAlign val="baseline"/>
        <sz val="11"/>
        <name val="Aptos Narrow"/>
        <scheme val="minor"/>
      </font>
      <border>
        <left style="medium">
          <color theme="1"/>
        </left>
        <right/>
        <top/>
        <bottom/>
      </border>
    </dxf>
    <dxf>
      <font>
        <strike val="0"/>
        <u val="none"/>
        <vertAlign val="baseline"/>
        <sz val="11"/>
        <name val="Aptos Narrow"/>
        <scheme val="minor"/>
      </font>
      <numFmt numFmtId="0" formatCode="General"/>
      <border>
        <left/>
        <right style="medium">
          <color theme="1"/>
        </right>
        <top/>
        <bottom/>
      </border>
    </dxf>
    <dxf>
      <font>
        <b/>
        <i/>
        <strike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left" vertical="center" textRotation="0" wrapText="1" indent="1" justifyLastLine="0" shrinkToFit="0" readingOrder="0"/>
    </dxf>
    <dxf>
      <font>
        <strike val="0"/>
        <u val="none"/>
        <vertAlign val="baseline"/>
        <sz val="11"/>
        <name val="Aptos Narrow"/>
        <scheme val="minor"/>
      </font>
    </dxf>
    <dxf>
      <font>
        <b/>
        <i/>
        <strike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2" tint="-0.499984740745262"/>
          <bgColor theme="2" tint="-0.499984740745262"/>
        </patternFill>
      </fill>
      <alignment horizontal="left" vertical="center" textRotation="0" wrapText="1" indent="1" justifyLastLine="0" shrinkToFit="0" readingOrder="0"/>
    </dxf>
    <dxf>
      <font>
        <strike val="0"/>
        <u val="none"/>
        <vertAlign val="baseline"/>
        <sz val="11"/>
        <name val="Aptos Narrow"/>
        <scheme val="minor"/>
      </font>
    </dxf>
    <dxf>
      <font>
        <b/>
        <i/>
        <strike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left" vertical="center" textRotation="0" wrapText="1" indent="1" justifyLastLine="0" shrinkToFit="0" readingOrder="0"/>
    </dxf>
    <dxf>
      <font>
        <strike val="0"/>
        <u val="none"/>
        <vertAlign val="baseline"/>
        <sz val="11"/>
        <name val="Aptos Narrow"/>
        <scheme val="minor"/>
      </font>
    </dxf>
    <dxf>
      <font>
        <b/>
        <i/>
        <strike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2" tint="-0.499984740745262"/>
          <bgColor theme="2" tint="-0.499984740745262"/>
        </patternFill>
      </fill>
    </dxf>
    <dxf>
      <font>
        <strike val="0"/>
        <u val="none"/>
        <vertAlign val="baseline"/>
        <sz val="11"/>
        <name val="Aptos Narrow"/>
        <scheme val="minor"/>
      </font>
      <numFmt numFmtId="30" formatCode="@"/>
      <alignment horizontal="left" vertical="center" textRotation="0" wrapText="1" relativeIndent="0" shrinkToFit="0" readingOrder="0"/>
    </dxf>
    <dxf>
      <font>
        <strike val="0"/>
        <u val="none"/>
        <vertAlign val="baseline"/>
        <sz val="11"/>
        <name val="Aptos Narrow"/>
        <scheme val="minor"/>
      </font>
      <border>
        <left style="medium">
          <color theme="1"/>
        </left>
        <right/>
        <top/>
        <bottom/>
      </border>
    </dxf>
    <dxf>
      <fill>
        <patternFill patternType="solid">
          <fgColor theme="0" tint="-4.9989318521683403E-2"/>
          <bgColor theme="0" tint="-4.9989318521683403E-2"/>
        </patternFill>
      </fill>
      <border>
        <left/>
        <right/>
        <top style="thin">
          <color theme="1"/>
        </top>
        <bottom style="thin">
          <color theme="1"/>
        </bottom>
        <horizontal style="thin">
          <color theme="1"/>
        </horizontal>
      </border>
    </dxf>
    <dxf>
      <border>
        <left/>
        <right/>
        <top style="thin">
          <color theme="1"/>
        </top>
        <bottom style="thin">
          <color theme="1"/>
        </bottom>
        <horizontal style="thin">
          <color theme="1"/>
        </horizontal>
      </border>
    </dxf>
    <dxf>
      <font>
        <b/>
        <i val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i val="0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</font>
      <fill>
        <patternFill patternType="solid">
          <fgColor theme="4"/>
          <bgColor theme="4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theme="2"/>
        </vertical>
        <horizontal style="thin">
          <color theme="0" tint="-0.499984740745262"/>
        </horizontal>
      </border>
    </dxf>
  </dxfs>
  <tableStyles count="1" defaultTableStyle="TableStyleMedium2" defaultPivotStyle="PivotStyleLight16">
    <tableStyle name="NMT Table" pivot="0" count="6" xr9:uid="{00000000-0011-0000-FFFF-FFFF00000000}">
      <tableStyleElement type="wholeTable" dxfId="30"/>
      <tableStyleElement type="headerRow" dxfId="29"/>
      <tableStyleElement type="totalRow" dxfId="28"/>
      <tableStyleElement type="firstColumn" dxfId="27"/>
      <tableStyleElement type="firstRowStripe" dxfId="26"/>
      <tableStyleElement type="secondRowStripe" dxfId="25"/>
    </tableStyle>
  </tableStyles>
  <colors>
    <mruColors>
      <color rgb="FFE1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M50">
  <autoFilter ref="A9:M50" xr:uid="{00000000-0009-0000-0100-000001000000}"/>
  <tableColumns count="13">
    <tableColumn id="1" xr3:uid="{00000000-0010-0000-0000-000001000000}" name="Date Added" dataDxfId="24"/>
    <tableColumn id="2" xr3:uid="{00000000-0010-0000-0000-000002000000}" name="ID" dataDxfId="23"/>
    <tableColumn id="3" xr3:uid="{00000000-0010-0000-0000-000003000000}" name="As A" dataDxfId="22">
      <calculatedColumnFormula>IF(Table1[[#This Row],[Date Added]]&lt;&gt;"",Table1[[#Headers],[As A]],"")</calculatedColumnFormula>
    </tableColumn>
    <tableColumn id="4" xr3:uid="{00000000-0010-0000-0000-000004000000}" name="User Type/Role" dataDxfId="21"/>
    <tableColumn id="5" xr3:uid="{00000000-0010-0000-0000-000005000000}" name="I" dataDxfId="20">
      <calculatedColumnFormula>IF(Table1[[#This Row],[Date Added]]&lt;&gt;"",Table1[[#Headers],[I]],"")</calculatedColumnFormula>
    </tableColumn>
    <tableColumn id="6" xr3:uid="{00000000-0010-0000-0000-000006000000}" name="MoSCoW Priority" dataDxfId="19"/>
    <tableColumn id="7" xr3:uid="{00000000-0010-0000-0000-000007000000}" name="be able to" dataDxfId="18">
      <calculatedColumnFormula>IF(Table1[[#This Row],[Date Added]]&lt;&gt;"",Table1[[#Headers],[be able to]],"")</calculatedColumnFormula>
    </tableColumn>
    <tableColumn id="8" xr3:uid="{00000000-0010-0000-0000-000008000000}" name="Feature Description" dataDxfId="17"/>
    <tableColumn id="9" xr3:uid="{00000000-0010-0000-0000-000009000000}" name="So That" dataDxfId="16">
      <calculatedColumnFormula>IF(Table1[[#This Row],[Date Added]]&lt;&gt;"",Table1[[#Headers],[So That]],"")</calculatedColumnFormula>
    </tableColumn>
    <tableColumn id="10" xr3:uid="{00000000-0010-0000-0000-00000A000000}" name="Business Reason" dataDxfId="15"/>
    <tableColumn id="11" xr3:uid="{00000000-0010-0000-0000-00000B000000}" name="Version" dataDxfId="14"/>
    <tableColumn id="12" xr3:uid="{00000000-0010-0000-0000-00000C000000}" name="Developer (s) Responsible" dataDxfId="13"/>
    <tableColumn id="13" xr3:uid="{00000000-0010-0000-0000-00000D000000}" name="Acceptance Criteria" dataDxfId="12"/>
  </tableColumns>
  <tableStyleInfo name="NMT Table" showFirstColumn="0" showLastColumn="0" showRowStripes="1" showColumnStripes="0"/>
</table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Vapor Trail">
      <a:fillStyleLst>
        <a:solidFill>
          <a:schemeClr val="phClr"/>
        </a:solidFill>
        <a:gradFill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rian.gould@nmtafe.wa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4"/>
  <sheetViews>
    <sheetView tabSelected="1" zoomScale="115" workbookViewId="0">
      <pane ySplit="9" topLeftCell="A10" activePane="bottomLeft" state="frozen"/>
      <selection activeCell="J14" sqref="J14"/>
      <selection pane="bottomLeft" activeCell="H26" sqref="H26"/>
    </sheetView>
  </sheetViews>
  <sheetFormatPr baseColWidth="10" defaultColWidth="9" defaultRowHeight="15" x14ac:dyDescent="0.2"/>
  <cols>
    <col min="1" max="1" width="16.1640625" customWidth="1"/>
    <col min="2" max="2" width="9.5" customWidth="1"/>
    <col min="3" max="3" width="8.5" customWidth="1"/>
    <col min="4" max="4" width="23.83203125" customWidth="1"/>
    <col min="5" max="5" width="5.1640625" customWidth="1"/>
    <col min="6" max="7" width="14.33203125" customWidth="1"/>
    <col min="8" max="8" width="45.5" customWidth="1"/>
    <col min="9" max="9" width="10.6640625" customWidth="1"/>
    <col min="10" max="10" width="49.1640625" customWidth="1"/>
    <col min="11" max="11" width="13.1640625" customWidth="1"/>
    <col min="12" max="12" width="30.1640625" customWidth="1"/>
    <col min="13" max="13" width="63" customWidth="1"/>
  </cols>
  <sheetData>
    <row r="1" spans="1:13" ht="50.25" customHeight="1" x14ac:dyDescent="0.2">
      <c r="A1" s="35" t="s">
        <v>0</v>
      </c>
      <c r="B1" s="36"/>
      <c r="C1" s="36"/>
      <c r="D1" s="37" t="s">
        <v>1</v>
      </c>
      <c r="E1" s="37"/>
      <c r="F1" s="37"/>
      <c r="G1" s="37"/>
      <c r="H1" s="37"/>
      <c r="I1" s="37"/>
      <c r="J1" s="38"/>
      <c r="K1" s="39" t="s">
        <v>2</v>
      </c>
      <c r="L1" s="40"/>
      <c r="M1" s="41"/>
    </row>
    <row r="2" spans="1:13" ht="27" customHeight="1" x14ac:dyDescent="0.2">
      <c r="A2" s="3" t="s">
        <v>3</v>
      </c>
      <c r="B2" s="42" t="s">
        <v>91</v>
      </c>
      <c r="C2" s="42"/>
      <c r="D2" s="42"/>
      <c r="E2" s="42"/>
      <c r="F2" s="42"/>
      <c r="G2" s="42"/>
      <c r="H2" s="42"/>
      <c r="I2" s="4" t="s">
        <v>4</v>
      </c>
      <c r="J2" s="2" t="s">
        <v>92</v>
      </c>
      <c r="K2" s="4" t="s">
        <v>5</v>
      </c>
      <c r="L2" s="43" t="s">
        <v>6</v>
      </c>
      <c r="M2" s="44"/>
    </row>
    <row r="3" spans="1:13" ht="27" customHeight="1" x14ac:dyDescent="0.2">
      <c r="A3" s="5" t="s">
        <v>7</v>
      </c>
      <c r="B3" s="49">
        <v>46211</v>
      </c>
      <c r="C3" s="50"/>
      <c r="D3" s="50"/>
      <c r="E3" s="50"/>
      <c r="F3" s="50"/>
      <c r="G3" s="6" t="s">
        <v>9</v>
      </c>
      <c r="H3" s="1" t="s">
        <v>10</v>
      </c>
      <c r="I3" s="6" t="s">
        <v>11</v>
      </c>
      <c r="J3" s="1" t="s">
        <v>93</v>
      </c>
      <c r="K3" s="6" t="s">
        <v>12</v>
      </c>
      <c r="L3" s="50" t="s">
        <v>8</v>
      </c>
      <c r="M3" s="51"/>
    </row>
    <row r="4" spans="1:13" ht="9" customHeight="1" x14ac:dyDescent="0.2"/>
    <row r="5" spans="1:13" ht="27" customHeight="1" x14ac:dyDescent="0.2">
      <c r="A5" s="52" t="s">
        <v>13</v>
      </c>
      <c r="B5" s="54" t="s">
        <v>91</v>
      </c>
      <c r="C5" s="55"/>
      <c r="D5" s="55"/>
      <c r="E5" s="55"/>
      <c r="F5" s="56"/>
      <c r="G5" s="57"/>
      <c r="H5" s="57"/>
      <c r="I5" s="57"/>
      <c r="J5" s="57"/>
      <c r="K5" s="54"/>
      <c r="L5" s="55"/>
      <c r="M5" s="58"/>
    </row>
    <row r="6" spans="1:13" ht="27" customHeight="1" x14ac:dyDescent="0.2">
      <c r="A6" s="53"/>
      <c r="B6" s="54"/>
      <c r="C6" s="55"/>
      <c r="D6" s="55"/>
      <c r="E6" s="55"/>
      <c r="F6" s="56"/>
      <c r="G6" s="57"/>
      <c r="H6" s="57"/>
      <c r="I6" s="57"/>
      <c r="J6" s="57"/>
      <c r="K6" s="54"/>
      <c r="L6" s="55"/>
      <c r="M6" s="58"/>
    </row>
    <row r="7" spans="1:13" ht="12" customHeight="1" x14ac:dyDescent="0.2"/>
    <row r="8" spans="1:13" ht="32" customHeight="1" x14ac:dyDescent="0.2">
      <c r="A8" s="45" t="s">
        <v>14</v>
      </c>
      <c r="B8" s="46"/>
      <c r="C8" s="46"/>
      <c r="D8" s="46"/>
      <c r="E8" s="46"/>
      <c r="F8" s="46"/>
      <c r="G8" s="46"/>
      <c r="H8" s="46"/>
      <c r="I8" s="46"/>
      <c r="J8" s="46"/>
      <c r="K8" s="47" t="s">
        <v>15</v>
      </c>
      <c r="L8" s="48"/>
      <c r="M8" s="7" t="s">
        <v>16</v>
      </c>
    </row>
    <row r="9" spans="1:13" ht="39" customHeight="1" x14ac:dyDescent="0.2">
      <c r="A9" s="8" t="s">
        <v>17</v>
      </c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10" t="s">
        <v>26</v>
      </c>
      <c r="K9" s="11" t="s">
        <v>27</v>
      </c>
      <c r="L9" s="12" t="s">
        <v>28</v>
      </c>
      <c r="M9" s="13" t="s">
        <v>29</v>
      </c>
    </row>
    <row r="10" spans="1:13" s="14" customFormat="1" ht="16" x14ac:dyDescent="0.2">
      <c r="A10" s="15"/>
      <c r="B10" s="34" t="s">
        <v>30</v>
      </c>
      <c r="C10" s="17" t="str">
        <f>IF(Table1[[#This Row],[Date Added]]&lt;&gt;"",Table1[[#Headers],[As A]],"")</f>
        <v/>
      </c>
      <c r="D10" s="18"/>
      <c r="E10" s="17" t="str">
        <f>IF(Table1[[#This Row],[Date Added]]&lt;&gt;"",Table1[[#Headers],[I]],"")</f>
        <v/>
      </c>
      <c r="F10" s="18"/>
      <c r="G10" s="31" t="str">
        <f>IF(Table1[[#This Row],[Date Added]]&lt;&gt;"",Table1[[#Headers],[be able to]],"")</f>
        <v/>
      </c>
      <c r="H10" s="18" t="s">
        <v>112</v>
      </c>
      <c r="I10" s="17" t="str">
        <f>IF(Table1[[#This Row],[Date Added]]&lt;&gt;"",Table1[[#Headers],[So That]],"")</f>
        <v/>
      </c>
      <c r="J10" s="19"/>
      <c r="K10" s="20"/>
      <c r="L10" s="19"/>
      <c r="M10" s="21"/>
    </row>
    <row r="11" spans="1:13" s="14" customFormat="1" ht="16" x14ac:dyDescent="0.2">
      <c r="A11" s="15">
        <v>43843</v>
      </c>
      <c r="B11" s="16" t="s">
        <v>31</v>
      </c>
      <c r="C11" s="17" t="str">
        <f>IF(Table1[[#This Row],[Date Added]]&lt;&gt;"",Table1[[#Headers],[As A]],"")</f>
        <v>As A</v>
      </c>
      <c r="D11" s="18" t="s">
        <v>32</v>
      </c>
      <c r="E11" s="17" t="str">
        <f>IF(Table1[[#This Row],[Date Added]]&lt;&gt;"",Table1[[#Headers],[I]],"")</f>
        <v>I</v>
      </c>
      <c r="F11" s="18" t="s">
        <v>33</v>
      </c>
      <c r="G11" s="31" t="str">
        <f>IF(Table1[[#This Row],[Date Added]]&lt;&gt;"",Table1[[#Headers],[be able to]],"")</f>
        <v>be able to</v>
      </c>
      <c r="H11" s="29" t="s">
        <v>78</v>
      </c>
      <c r="I11" s="17" t="str">
        <f>IF(Table1[[#This Row],[Date Added]]&lt;&gt;"",Table1[[#Headers],[So That]],"")</f>
        <v>So That</v>
      </c>
      <c r="J11" s="30" t="s">
        <v>79</v>
      </c>
      <c r="K11" s="20"/>
      <c r="L11" s="19"/>
      <c r="M11" s="21"/>
    </row>
    <row r="12" spans="1:13" s="14" customFormat="1" ht="16" x14ac:dyDescent="0.2">
      <c r="A12" s="15">
        <v>43843</v>
      </c>
      <c r="B12" s="16" t="s">
        <v>34</v>
      </c>
      <c r="C12" s="17" t="str">
        <f>IF(Table1[[#This Row],[Date Added]]&lt;&gt;"",Table1[[#Headers],[As A]],"")</f>
        <v>As A</v>
      </c>
      <c r="D12" s="18" t="s">
        <v>35</v>
      </c>
      <c r="E12" s="17" t="str">
        <f>IF(Table1[[#This Row],[Date Added]]&lt;&gt;"",Table1[[#Headers],[I]],"")</f>
        <v>I</v>
      </c>
      <c r="F12" s="18" t="s">
        <v>33</v>
      </c>
      <c r="G12" s="31" t="str">
        <f>IF(Table1[[#This Row],[Date Added]]&lt;&gt;"",Table1[[#Headers],[be able to]],"")</f>
        <v>be able to</v>
      </c>
      <c r="H12" s="18" t="s">
        <v>36</v>
      </c>
      <c r="I12" s="17" t="str">
        <f>IF(Table1[[#This Row],[Date Added]]&lt;&gt;"",Table1[[#Headers],[So That]],"")</f>
        <v>So That</v>
      </c>
      <c r="J12" s="30" t="s">
        <v>79</v>
      </c>
      <c r="K12" s="20"/>
      <c r="L12" s="19"/>
      <c r="M12" s="21"/>
    </row>
    <row r="13" spans="1:13" s="14" customFormat="1" ht="16" x14ac:dyDescent="0.2">
      <c r="A13" s="15">
        <v>43843</v>
      </c>
      <c r="B13" s="16" t="s">
        <v>37</v>
      </c>
      <c r="C13" s="17" t="str">
        <f>IF(Table1[[#This Row],[Date Added]]&lt;&gt;"",Table1[[#Headers],[As A]],"")</f>
        <v>As A</v>
      </c>
      <c r="D13" s="18" t="s">
        <v>35</v>
      </c>
      <c r="E13" s="17" t="str">
        <f>IF(Table1[[#This Row],[Date Added]]&lt;&gt;"",Table1[[#Headers],[I]],"")</f>
        <v>I</v>
      </c>
      <c r="F13" s="18" t="s">
        <v>33</v>
      </c>
      <c r="G13" s="31" t="str">
        <f>IF(Table1[[#This Row],[Date Added]]&lt;&gt;"",Table1[[#Headers],[be able to]],"")</f>
        <v>be able to</v>
      </c>
      <c r="H13" s="18" t="s">
        <v>38</v>
      </c>
      <c r="I13" s="17" t="str">
        <f>IF(Table1[[#This Row],[Date Added]]&lt;&gt;"",Table1[[#Headers],[So That]],"")</f>
        <v>So That</v>
      </c>
      <c r="J13" s="30" t="s">
        <v>79</v>
      </c>
      <c r="K13" s="20"/>
      <c r="L13" s="19"/>
      <c r="M13" s="21"/>
    </row>
    <row r="14" spans="1:13" s="14" customFormat="1" ht="16" x14ac:dyDescent="0.2">
      <c r="A14" s="15">
        <v>43843</v>
      </c>
      <c r="B14" s="16" t="s">
        <v>39</v>
      </c>
      <c r="C14" s="17" t="str">
        <f>IF(Table1[[#This Row],[Date Added]]&lt;&gt;"",Table1[[#Headers],[As A]],"")</f>
        <v>As A</v>
      </c>
      <c r="D14" s="18" t="s">
        <v>35</v>
      </c>
      <c r="E14" s="17" t="str">
        <f>IF(Table1[[#This Row],[Date Added]]&lt;&gt;"",Table1[[#Headers],[I]],"")</f>
        <v>I</v>
      </c>
      <c r="F14" s="18" t="s">
        <v>33</v>
      </c>
      <c r="G14" s="31" t="str">
        <f>IF(Table1[[#This Row],[Date Added]]&lt;&gt;"",Table1[[#Headers],[be able to]],"")</f>
        <v>be able to</v>
      </c>
      <c r="H14" s="18" t="s">
        <v>40</v>
      </c>
      <c r="I14" s="17" t="str">
        <f>IF(Table1[[#This Row],[Date Added]]&lt;&gt;"",Table1[[#Headers],[So That]],"")</f>
        <v>So That</v>
      </c>
      <c r="J14" s="30" t="s">
        <v>79</v>
      </c>
      <c r="K14" s="20"/>
      <c r="L14" s="19"/>
      <c r="M14" s="21"/>
    </row>
    <row r="15" spans="1:13" s="14" customFormat="1" ht="16" x14ac:dyDescent="0.2">
      <c r="A15" s="15">
        <v>46211</v>
      </c>
      <c r="B15" s="27" t="s">
        <v>81</v>
      </c>
      <c r="C15" s="17" t="str">
        <f>IF(Table1[[#This Row],[Date Added]]&lt;&gt;"",Table1[[#Headers],[As A]],"")</f>
        <v>As A</v>
      </c>
      <c r="D15" s="29" t="s">
        <v>35</v>
      </c>
      <c r="E15" s="17" t="str">
        <f>IF(Table1[[#This Row],[Date Added]]&lt;&gt;"",Table1[[#Headers],[I]],"")</f>
        <v>I</v>
      </c>
      <c r="F15" s="29" t="s">
        <v>58</v>
      </c>
      <c r="G15" s="31" t="str">
        <f>IF(Table1[[#This Row],[Date Added]]&lt;&gt;"",Table1[[#Headers],[be able to]],"")</f>
        <v>be able to</v>
      </c>
      <c r="H15" s="29" t="s">
        <v>80</v>
      </c>
      <c r="I15" s="17" t="str">
        <f>IF(Table1[[#This Row],[Date Added]]&lt;&gt;"",Table1[[#Headers],[So That]],"")</f>
        <v>So That</v>
      </c>
      <c r="J15" s="30" t="s">
        <v>82</v>
      </c>
      <c r="K15" s="20"/>
      <c r="L15" s="19"/>
      <c r="M15" s="21"/>
    </row>
    <row r="16" spans="1:13" s="14" customFormat="1" ht="16" x14ac:dyDescent="0.2">
      <c r="A16" s="15"/>
      <c r="B16" s="16"/>
      <c r="C16" s="17" t="str">
        <f>IF(Table1[[#This Row],[Date Added]]&lt;&gt;"",Table1[[#Headers],[As A]],"")</f>
        <v/>
      </c>
      <c r="D16" s="18"/>
      <c r="E16" s="17" t="str">
        <f>IF(Table1[[#This Row],[Date Added]]&lt;&gt;"",Table1[[#Headers],[I]],"")</f>
        <v/>
      </c>
      <c r="F16" s="18"/>
      <c r="G16" s="31" t="str">
        <f>IF(Table1[[#This Row],[Date Added]]&lt;&gt;"",Table1[[#Headers],[be able to]],"")</f>
        <v/>
      </c>
      <c r="H16" s="18"/>
      <c r="I16" s="17" t="str">
        <f>IF(Table1[[#This Row],[Date Added]]&lt;&gt;"",Table1[[#Headers],[So That]],"")</f>
        <v/>
      </c>
      <c r="J16" s="19"/>
      <c r="K16" s="20"/>
      <c r="L16" s="19"/>
      <c r="M16" s="21"/>
    </row>
    <row r="17" spans="1:13" s="14" customFormat="1" ht="16" x14ac:dyDescent="0.2">
      <c r="A17" s="15"/>
      <c r="B17" s="16" t="s">
        <v>41</v>
      </c>
      <c r="C17" s="17" t="str">
        <f>IF(Table1[[#This Row],[Date Added]]&lt;&gt;"",Table1[[#Headers],[As A]],"")</f>
        <v/>
      </c>
      <c r="D17" s="18"/>
      <c r="E17" s="17" t="str">
        <f>IF(Table1[[#This Row],[Date Added]]&lt;&gt;"",Table1[[#Headers],[I]],"")</f>
        <v/>
      </c>
      <c r="F17" s="18"/>
      <c r="G17" s="31" t="str">
        <f>IF(Table1[[#This Row],[Date Added]]&lt;&gt;"",Table1[[#Headers],[be able to]],"")</f>
        <v/>
      </c>
      <c r="H17" s="16" t="s">
        <v>42</v>
      </c>
      <c r="I17" s="17" t="str">
        <f>IF(Table1[[#This Row],[Date Added]]&lt;&gt;"",Table1[[#Headers],[So That]],"")</f>
        <v/>
      </c>
      <c r="J17" s="19"/>
      <c r="K17" s="20"/>
      <c r="L17" s="19"/>
      <c r="M17" s="21"/>
    </row>
    <row r="18" spans="1:13" s="14" customFormat="1" ht="16" x14ac:dyDescent="0.2">
      <c r="A18" s="15">
        <v>46100</v>
      </c>
      <c r="B18" s="16" t="s">
        <v>43</v>
      </c>
      <c r="C18" s="17" t="str">
        <f>IF(Table1[[#This Row],[Date Added]]&lt;&gt;"",Table1[[#Headers],[As A]],"")</f>
        <v>As A</v>
      </c>
      <c r="D18" s="18" t="s">
        <v>44</v>
      </c>
      <c r="E18" s="17" t="str">
        <f>IF(Table1[[#This Row],[Date Added]]&lt;&gt;"",Table1[[#Headers],[I]],"")</f>
        <v>I</v>
      </c>
      <c r="F18" s="18" t="s">
        <v>33</v>
      </c>
      <c r="G18" s="31" t="str">
        <f>IF(Table1[[#This Row],[Date Added]]&lt;&gt;"",Table1[[#Headers],[be able to]],"")</f>
        <v>be able to</v>
      </c>
      <c r="H18" s="16" t="s">
        <v>45</v>
      </c>
      <c r="I18" s="17" t="str">
        <f>IF(Table1[[#This Row],[Date Added]]&lt;&gt;"",Table1[[#Headers],[So That]],"")</f>
        <v>So That</v>
      </c>
      <c r="J18" s="19" t="s">
        <v>46</v>
      </c>
      <c r="K18" s="20"/>
      <c r="L18" s="19"/>
      <c r="M18" s="21"/>
    </row>
    <row r="19" spans="1:13" ht="16" x14ac:dyDescent="0.2">
      <c r="A19" s="15">
        <v>46100</v>
      </c>
      <c r="B19" s="16" t="s">
        <v>47</v>
      </c>
      <c r="C19" s="17" t="str">
        <f>IF(Table1[[#This Row],[Date Added]]&lt;&gt;"",Table1[[#Headers],[As A]],"")</f>
        <v>As A</v>
      </c>
      <c r="D19" s="18" t="s">
        <v>44</v>
      </c>
      <c r="E19" s="17" t="str">
        <f>IF(Table1[[#This Row],[Date Added]]&lt;&gt;"",Table1[[#Headers],[I]],"")</f>
        <v>I</v>
      </c>
      <c r="F19" s="18" t="s">
        <v>33</v>
      </c>
      <c r="G19" s="31" t="str">
        <f>IF(Table1[[#This Row],[Date Added]]&lt;&gt;"",Table1[[#Headers],[be able to]],"")</f>
        <v>be able to</v>
      </c>
      <c r="H19" s="16" t="s">
        <v>48</v>
      </c>
      <c r="I19" s="17" t="str">
        <f>IF(Table1[[#This Row],[Date Added]]&lt;&gt;"",Table1[[#Headers],[So That]],"")</f>
        <v>So That</v>
      </c>
      <c r="J19" s="19" t="s">
        <v>46</v>
      </c>
      <c r="K19" s="20"/>
      <c r="L19" s="19"/>
      <c r="M19" s="21"/>
    </row>
    <row r="20" spans="1:13" ht="16" x14ac:dyDescent="0.2">
      <c r="A20" s="15">
        <v>46100</v>
      </c>
      <c r="B20" s="16" t="s">
        <v>49</v>
      </c>
      <c r="C20" s="17" t="str">
        <f>IF(Table1[[#This Row],[Date Added]]&lt;&gt;"",Table1[[#Headers],[As A]],"")</f>
        <v>As A</v>
      </c>
      <c r="D20" s="18" t="s">
        <v>44</v>
      </c>
      <c r="E20" s="17" t="str">
        <f>IF(Table1[[#This Row],[Date Added]]&lt;&gt;"",Table1[[#Headers],[I]],"")</f>
        <v>I</v>
      </c>
      <c r="F20" s="18" t="s">
        <v>33</v>
      </c>
      <c r="G20" s="31" t="str">
        <f>IF(Table1[[#This Row],[Date Added]]&lt;&gt;"",Table1[[#Headers],[be able to]],"")</f>
        <v>be able to</v>
      </c>
      <c r="H20" s="16" t="s">
        <v>50</v>
      </c>
      <c r="I20" s="17" t="str">
        <f>IF(Table1[[#This Row],[Date Added]]&lt;&gt;"",Table1[[#Headers],[So That]],"")</f>
        <v>So That</v>
      </c>
      <c r="J20" s="19" t="s">
        <v>46</v>
      </c>
      <c r="K20" s="20"/>
      <c r="L20" s="19"/>
      <c r="M20" s="21"/>
    </row>
    <row r="21" spans="1:13" ht="16" x14ac:dyDescent="0.2">
      <c r="A21" s="15">
        <v>46100</v>
      </c>
      <c r="B21" s="16" t="s">
        <v>51</v>
      </c>
      <c r="C21" s="17" t="str">
        <f>IF(Table1[[#This Row],[Date Added]]&lt;&gt;"",Table1[[#Headers],[As A]],"")</f>
        <v>As A</v>
      </c>
      <c r="D21" s="18" t="s">
        <v>44</v>
      </c>
      <c r="E21" s="17" t="str">
        <f>IF(Table1[[#This Row],[Date Added]]&lt;&gt;"",Table1[[#Headers],[I]],"")</f>
        <v>I</v>
      </c>
      <c r="F21" s="18" t="s">
        <v>33</v>
      </c>
      <c r="G21" s="31" t="str">
        <f>IF(Table1[[#This Row],[Date Added]]&lt;&gt;"",Table1[[#Headers],[be able to]],"")</f>
        <v>be able to</v>
      </c>
      <c r="H21" s="16" t="s">
        <v>52</v>
      </c>
      <c r="I21" s="17" t="str">
        <f>IF(Table1[[#This Row],[Date Added]]&lt;&gt;"",Table1[[#Headers],[So That]],"")</f>
        <v>So That</v>
      </c>
      <c r="J21" s="19" t="s">
        <v>46</v>
      </c>
      <c r="K21" s="20"/>
      <c r="L21" s="19"/>
      <c r="M21" s="21"/>
    </row>
    <row r="22" spans="1:13" ht="16" x14ac:dyDescent="0.2">
      <c r="A22" s="15">
        <v>46100</v>
      </c>
      <c r="B22" s="16" t="s">
        <v>53</v>
      </c>
      <c r="C22" s="17" t="str">
        <f>IF(Table1[[#This Row],[Date Added]]&lt;&gt;"",Table1[[#Headers],[As A]],"")</f>
        <v>As A</v>
      </c>
      <c r="D22" s="18" t="s">
        <v>44</v>
      </c>
      <c r="E22" s="17" t="str">
        <f>IF(Table1[[#This Row],[Date Added]]&lt;&gt;"",Table1[[#Headers],[I]],"")</f>
        <v>I</v>
      </c>
      <c r="F22" s="18" t="s">
        <v>33</v>
      </c>
      <c r="G22" s="31" t="str">
        <f>IF(Table1[[#This Row],[Date Added]]&lt;&gt;"",Table1[[#Headers],[be able to]],"")</f>
        <v>be able to</v>
      </c>
      <c r="H22" s="16" t="s">
        <v>54</v>
      </c>
      <c r="I22" s="17" t="str">
        <f>IF(Table1[[#This Row],[Date Added]]&lt;&gt;"",Table1[[#Headers],[So That]],"")</f>
        <v>So That</v>
      </c>
      <c r="J22" s="19" t="s">
        <v>46</v>
      </c>
      <c r="K22" s="20"/>
      <c r="L22" s="19"/>
      <c r="M22" s="21"/>
    </row>
    <row r="23" spans="1:13" ht="16" x14ac:dyDescent="0.2">
      <c r="A23" s="15"/>
      <c r="B23" s="16"/>
      <c r="C23" s="17" t="str">
        <f>IF(Table1[[#This Row],[Date Added]]&lt;&gt;"",Table1[[#Headers],[As A]],"")</f>
        <v/>
      </c>
      <c r="D23" s="18"/>
      <c r="E23" s="17" t="str">
        <f>IF(Table1[[#This Row],[Date Added]]&lt;&gt;"",Table1[[#Headers],[I]],"")</f>
        <v/>
      </c>
      <c r="F23" s="18"/>
      <c r="G23" s="31" t="str">
        <f>IF(Table1[[#This Row],[Date Added]]&lt;&gt;"",Table1[[#Headers],[be able to]],"")</f>
        <v/>
      </c>
      <c r="H23" s="16"/>
      <c r="I23" s="17" t="str">
        <f>IF(Table1[[#This Row],[Date Added]]&lt;&gt;"",Table1[[#Headers],[So That]],"")</f>
        <v/>
      </c>
      <c r="J23" s="19"/>
      <c r="K23" s="20"/>
      <c r="L23" s="19"/>
      <c r="M23" s="21"/>
    </row>
    <row r="24" spans="1:13" ht="16" x14ac:dyDescent="0.2">
      <c r="A24" s="15"/>
      <c r="B24" s="16" t="s">
        <v>55</v>
      </c>
      <c r="C24" s="17" t="str">
        <f>IF(Table1[[#This Row],[Date Added]]&lt;&gt;"",Table1[[#Headers],[As A]],"")</f>
        <v/>
      </c>
      <c r="D24" s="18"/>
      <c r="E24" s="17" t="str">
        <f>IF(Table1[[#This Row],[Date Added]]&lt;&gt;"",Table1[[#Headers],[I]],"")</f>
        <v/>
      </c>
      <c r="F24" s="18"/>
      <c r="G24" s="31" t="str">
        <f>IF(Table1[[#This Row],[Date Added]]&lt;&gt;"",Table1[[#Headers],[be able to]],"")</f>
        <v/>
      </c>
      <c r="H24" s="16" t="s">
        <v>113</v>
      </c>
      <c r="I24" s="17" t="str">
        <f>IF(Table1[[#This Row],[Date Added]]&lt;&gt;"",Table1[[#Headers],[So That]],"")</f>
        <v/>
      </c>
      <c r="J24" s="19"/>
      <c r="K24" s="20"/>
      <c r="L24" s="19"/>
      <c r="M24" s="21"/>
    </row>
    <row r="25" spans="1:13" ht="32" x14ac:dyDescent="0.2">
      <c r="A25" s="15">
        <v>46212</v>
      </c>
      <c r="B25" s="16" t="s">
        <v>56</v>
      </c>
      <c r="C25" s="17" t="str">
        <f>IF(Table1[[#This Row],[Date Added]]&lt;&gt;"",Table1[[#Headers],[As A]],"")</f>
        <v>As A</v>
      </c>
      <c r="D25" s="18" t="s">
        <v>44</v>
      </c>
      <c r="E25" s="17" t="str">
        <f>IF(Table1[[#This Row],[Date Added]]&lt;&gt;"",Table1[[#Headers],[I]],"")</f>
        <v>I</v>
      </c>
      <c r="F25" s="18" t="s">
        <v>33</v>
      </c>
      <c r="G25" s="31" t="str">
        <f>IF(Table1[[#This Row],[Date Added]]&lt;&gt;"",Table1[[#Headers],[be able to]],"")</f>
        <v>be able to</v>
      </c>
      <c r="H25" s="16" t="s">
        <v>117</v>
      </c>
      <c r="I25" s="17" t="str">
        <f>IF(Table1[[#This Row],[Date Added]]&lt;&gt;"",Table1[[#Headers],[So That]],"")</f>
        <v>So That</v>
      </c>
      <c r="J25" s="19"/>
      <c r="K25" s="20"/>
      <c r="L25" s="19"/>
      <c r="M25" s="21"/>
    </row>
    <row r="26" spans="1:13" ht="48" x14ac:dyDescent="0.2">
      <c r="A26" s="15">
        <v>46212</v>
      </c>
      <c r="B26" s="16" t="s">
        <v>57</v>
      </c>
      <c r="C26" s="17" t="str">
        <f>IF(Table1[[#This Row],[Date Added]]&lt;&gt;"",Table1[[#Headers],[As A]],"")</f>
        <v>As A</v>
      </c>
      <c r="D26" s="18" t="s">
        <v>100</v>
      </c>
      <c r="E26" s="17" t="str">
        <f>IF(Table1[[#This Row],[Date Added]]&lt;&gt;"",Table1[[#Headers],[I]],"")</f>
        <v>I</v>
      </c>
      <c r="F26" s="18" t="s">
        <v>33</v>
      </c>
      <c r="G26" s="31" t="str">
        <f>IF(Table1[[#This Row],[Date Added]]&lt;&gt;"",Table1[[#Headers],[be able to]],"")</f>
        <v>be able to</v>
      </c>
      <c r="H26" s="16" t="s">
        <v>118</v>
      </c>
      <c r="I26" s="17" t="str">
        <f>IF(Table1[[#This Row],[Date Added]]&lt;&gt;"",Table1[[#Headers],[So That]],"")</f>
        <v>So That</v>
      </c>
      <c r="J26" s="19"/>
      <c r="K26" s="20"/>
      <c r="L26" s="19"/>
      <c r="M26" s="21"/>
    </row>
    <row r="27" spans="1:13" ht="16" x14ac:dyDescent="0.2">
      <c r="A27" s="15"/>
      <c r="B27" s="16"/>
      <c r="C27" s="17" t="str">
        <f>IF(Table1[[#This Row],[Date Added]]&lt;&gt;"",Table1[[#Headers],[As A]],"")</f>
        <v/>
      </c>
      <c r="D27" s="18"/>
      <c r="E27" s="17" t="str">
        <f>IF(Table1[[#This Row],[Date Added]]&lt;&gt;"",Table1[[#Headers],[I]],"")</f>
        <v/>
      </c>
      <c r="F27" s="18"/>
      <c r="G27" s="31" t="str">
        <f>IF(Table1[[#This Row],[Date Added]]&lt;&gt;"",Table1[[#Headers],[be able to]],"")</f>
        <v/>
      </c>
      <c r="H27" s="18"/>
      <c r="I27" s="17" t="str">
        <f>IF(Table1[[#This Row],[Date Added]]&lt;&gt;"",Table1[[#Headers],[So That]],"")</f>
        <v/>
      </c>
      <c r="J27" s="19"/>
      <c r="K27" s="20"/>
      <c r="L27" s="19"/>
      <c r="M27" s="21"/>
    </row>
    <row r="28" spans="1:13" ht="16" x14ac:dyDescent="0.2">
      <c r="A28" s="15"/>
      <c r="B28" s="27" t="s">
        <v>64</v>
      </c>
      <c r="C28" s="17" t="str">
        <f>IF(Table1[[#This Row],[Date Added]]&lt;&gt;"",Table1[[#Headers],[As A]],"")</f>
        <v/>
      </c>
      <c r="D28" s="18"/>
      <c r="E28" s="17" t="str">
        <f>IF(Table1[[#This Row],[Date Added]]&lt;&gt;"",Table1[[#Headers],[I]],"")</f>
        <v/>
      </c>
      <c r="F28" s="18"/>
      <c r="G28" s="31" t="str">
        <f>IF(Table1[[#This Row],[Date Added]]&lt;&gt;"",Table1[[#Headers],[be able to]],"")</f>
        <v/>
      </c>
      <c r="H28" s="27" t="s">
        <v>70</v>
      </c>
      <c r="I28" s="17" t="str">
        <f>IF(Table1[[#This Row],[Date Added]]&lt;&gt;"",Table1[[#Headers],[So That]],"")</f>
        <v/>
      </c>
      <c r="J28" s="19"/>
      <c r="K28" s="20"/>
      <c r="L28" s="19"/>
      <c r="M28" s="21"/>
    </row>
    <row r="29" spans="1:13" ht="16" x14ac:dyDescent="0.2">
      <c r="A29" s="15">
        <v>46211</v>
      </c>
      <c r="B29" s="25" t="s">
        <v>65</v>
      </c>
      <c r="C29" s="17" t="str">
        <f>IF(Table1[[#This Row],[Date Added]]&lt;&gt;"",Table1[[#Headers],[As A]],"")</f>
        <v>As A</v>
      </c>
      <c r="D29" s="29" t="s">
        <v>100</v>
      </c>
      <c r="E29" s="17" t="str">
        <f>IF(Table1[[#This Row],[Date Added]]&lt;&gt;"",Table1[[#Headers],[I]],"")</f>
        <v>I</v>
      </c>
      <c r="F29" s="29" t="s">
        <v>33</v>
      </c>
      <c r="G29" s="31" t="str">
        <f>IF(Table1[[#This Row],[Date Added]]&lt;&gt;"",Table1[[#Headers],[be able to]],"")</f>
        <v>be able to</v>
      </c>
      <c r="H29" s="18" t="s">
        <v>71</v>
      </c>
      <c r="I29" s="17" t="str">
        <f>IF(Table1[[#This Row],[Date Added]]&lt;&gt;"",Table1[[#Headers],[So That]],"")</f>
        <v>So That</v>
      </c>
      <c r="J29" s="30" t="s">
        <v>101</v>
      </c>
      <c r="K29" s="20"/>
      <c r="L29" s="19"/>
      <c r="M29" s="21"/>
    </row>
    <row r="30" spans="1:13" ht="16" x14ac:dyDescent="0.2">
      <c r="A30" s="15">
        <v>46211</v>
      </c>
      <c r="B30" s="25" t="s">
        <v>66</v>
      </c>
      <c r="C30" s="17" t="str">
        <f>IF(Table1[[#This Row],[Date Added]]&lt;&gt;"",Table1[[#Headers],[As A]],"")</f>
        <v>As A</v>
      </c>
      <c r="D30" s="29" t="s">
        <v>100</v>
      </c>
      <c r="E30" s="17" t="str">
        <f>IF(Table1[[#This Row],[Date Added]]&lt;&gt;"",Table1[[#Headers],[I]],"")</f>
        <v>I</v>
      </c>
      <c r="F30" s="29" t="s">
        <v>33</v>
      </c>
      <c r="G30" s="31" t="str">
        <f>IF(Table1[[#This Row],[Date Added]]&lt;&gt;"",Table1[[#Headers],[be able to]],"")</f>
        <v>be able to</v>
      </c>
      <c r="H30" s="18" t="s">
        <v>72</v>
      </c>
      <c r="I30" s="17" t="str">
        <f>IF(Table1[[#This Row],[Date Added]]&lt;&gt;"",Table1[[#Headers],[So That]],"")</f>
        <v>So That</v>
      </c>
      <c r="J30" s="30" t="s">
        <v>104</v>
      </c>
      <c r="K30" s="20"/>
      <c r="L30" s="19"/>
      <c r="M30" s="21"/>
    </row>
    <row r="31" spans="1:13" ht="16" x14ac:dyDescent="0.2">
      <c r="A31" s="15">
        <v>46211</v>
      </c>
      <c r="B31" s="25" t="s">
        <v>67</v>
      </c>
      <c r="C31" s="17" t="str">
        <f>IF(Table1[[#This Row],[Date Added]]&lt;&gt;"",Table1[[#Headers],[As A]],"")</f>
        <v>As A</v>
      </c>
      <c r="D31" s="29" t="s">
        <v>100</v>
      </c>
      <c r="E31" s="17" t="str">
        <f>IF(Table1[[#This Row],[Date Added]]&lt;&gt;"",Table1[[#Headers],[I]],"")</f>
        <v>I</v>
      </c>
      <c r="F31" s="29" t="s">
        <v>33</v>
      </c>
      <c r="G31" s="31" t="str">
        <f>IF(Table1[[#This Row],[Date Added]]&lt;&gt;"",Table1[[#Headers],[be able to]],"")</f>
        <v>be able to</v>
      </c>
      <c r="H31" s="18" t="s">
        <v>73</v>
      </c>
      <c r="I31" s="17" t="str">
        <f>IF(Table1[[#This Row],[Date Added]]&lt;&gt;"",Table1[[#Headers],[So That]],"")</f>
        <v>So That</v>
      </c>
      <c r="J31" s="30" t="s">
        <v>101</v>
      </c>
      <c r="K31" s="20"/>
      <c r="L31" s="19"/>
      <c r="M31" s="21"/>
    </row>
    <row r="32" spans="1:13" ht="16" x14ac:dyDescent="0.2">
      <c r="A32" s="15">
        <v>46211</v>
      </c>
      <c r="B32" s="28" t="s">
        <v>114</v>
      </c>
      <c r="C32" s="17" t="str">
        <f>IF(Table1[[#This Row],[Date Added]]&lt;&gt;"",Table1[[#Headers],[As A]],"")</f>
        <v>As A</v>
      </c>
      <c r="D32" s="29" t="s">
        <v>100</v>
      </c>
      <c r="E32" s="17" t="str">
        <f>IF(Table1[[#This Row],[Date Added]]&lt;&gt;"",Table1[[#Headers],[I]],"")</f>
        <v>I</v>
      </c>
      <c r="F32" s="29" t="s">
        <v>58</v>
      </c>
      <c r="G32" s="31" t="str">
        <f>IF(Table1[[#This Row],[Date Added]]&lt;&gt;"",Table1[[#Headers],[be able to]],"")</f>
        <v>be able to</v>
      </c>
      <c r="H32" s="29" t="s">
        <v>108</v>
      </c>
      <c r="I32" s="17" t="str">
        <f>IF(Table1[[#This Row],[Date Added]]&lt;&gt;"",Table1[[#Headers],[So That]],"")</f>
        <v>So That</v>
      </c>
      <c r="J32" s="30" t="s">
        <v>110</v>
      </c>
      <c r="K32" s="20"/>
      <c r="L32" s="19"/>
      <c r="M32" s="21"/>
    </row>
    <row r="33" spans="1:13" ht="16" x14ac:dyDescent="0.2">
      <c r="A33" s="15">
        <v>46211</v>
      </c>
      <c r="B33" s="28" t="s">
        <v>115</v>
      </c>
      <c r="C33" s="17" t="str">
        <f>IF(Table1[[#This Row],[Date Added]]&lt;&gt;"",Table1[[#Headers],[As A]],"")</f>
        <v>As A</v>
      </c>
      <c r="D33" s="29" t="s">
        <v>100</v>
      </c>
      <c r="E33" s="17" t="str">
        <f>IF(Table1[[#This Row],[Date Added]]&lt;&gt;"",Table1[[#Headers],[I]],"")</f>
        <v>I</v>
      </c>
      <c r="F33" s="29" t="s">
        <v>58</v>
      </c>
      <c r="G33" s="31" t="str">
        <f>IF(Table1[[#This Row],[Date Added]]&lt;&gt;"",Table1[[#Headers],[be able to]],"")</f>
        <v>be able to</v>
      </c>
      <c r="H33" s="29" t="s">
        <v>109</v>
      </c>
      <c r="I33" s="17" t="str">
        <f>IF(Table1[[#This Row],[Date Added]]&lt;&gt;"",Table1[[#Headers],[So That]],"")</f>
        <v>So That</v>
      </c>
      <c r="J33" s="30" t="s">
        <v>110</v>
      </c>
      <c r="K33" s="20"/>
      <c r="L33" s="19"/>
      <c r="M33" s="21"/>
    </row>
    <row r="34" spans="1:13" ht="16" x14ac:dyDescent="0.2">
      <c r="A34" s="15">
        <v>46211</v>
      </c>
      <c r="B34" s="28" t="s">
        <v>116</v>
      </c>
      <c r="C34" s="17" t="str">
        <f>IF(Table1[[#This Row],[Date Added]]&lt;&gt;"",Table1[[#Headers],[As A]],"")</f>
        <v>As A</v>
      </c>
      <c r="D34" s="29" t="s">
        <v>100</v>
      </c>
      <c r="E34" s="17" t="str">
        <f>IF(Table1[[#This Row],[Date Added]]&lt;&gt;"",Table1[[#Headers],[I]],"")</f>
        <v>I</v>
      </c>
      <c r="F34" s="29" t="s">
        <v>58</v>
      </c>
      <c r="G34" s="31" t="str">
        <f>IF(Table1[[#This Row],[Date Added]]&lt;&gt;"",Table1[[#Headers],[be able to]],"")</f>
        <v>be able to</v>
      </c>
      <c r="H34" s="29" t="s">
        <v>111</v>
      </c>
      <c r="I34" s="17" t="str">
        <f>IF(Table1[[#This Row],[Date Added]]&lt;&gt;"",Table1[[#Headers],[So That]],"")</f>
        <v>So That</v>
      </c>
      <c r="J34" s="30" t="s">
        <v>110</v>
      </c>
      <c r="K34" s="20"/>
      <c r="L34" s="19"/>
      <c r="M34" s="21"/>
    </row>
    <row r="35" spans="1:13" ht="16" x14ac:dyDescent="0.2">
      <c r="A35" s="15">
        <v>46211</v>
      </c>
      <c r="B35" s="25" t="s">
        <v>68</v>
      </c>
      <c r="C35" s="17" t="str">
        <f>IF(Table1[[#This Row],[Date Added]]&lt;&gt;"",Table1[[#Headers],[As A]],"")</f>
        <v>As A</v>
      </c>
      <c r="D35" s="29" t="s">
        <v>100</v>
      </c>
      <c r="E35" s="17" t="str">
        <f>IF(Table1[[#This Row],[Date Added]]&lt;&gt;"",Table1[[#Headers],[I]],"")</f>
        <v>I</v>
      </c>
      <c r="F35" s="29" t="s">
        <v>33</v>
      </c>
      <c r="G35" s="31" t="str">
        <f>IF(Table1[[#This Row],[Date Added]]&lt;&gt;"",Table1[[#Headers],[be able to]],"")</f>
        <v>be able to</v>
      </c>
      <c r="H35" s="18" t="s">
        <v>74</v>
      </c>
      <c r="I35" s="17" t="str">
        <f>IF(Table1[[#This Row],[Date Added]]&lt;&gt;"",Table1[[#Headers],[So That]],"")</f>
        <v>So That</v>
      </c>
      <c r="J35" s="30" t="s">
        <v>101</v>
      </c>
      <c r="K35" s="20"/>
      <c r="L35" s="19"/>
      <c r="M35" s="21"/>
    </row>
    <row r="36" spans="1:13" ht="16" x14ac:dyDescent="0.2">
      <c r="A36" s="15">
        <v>46211</v>
      </c>
      <c r="B36" s="25" t="s">
        <v>69</v>
      </c>
      <c r="C36" s="17" t="str">
        <f>IF(Table1[[#This Row],[Date Added]]&lt;&gt;"",Table1[[#Headers],[As A]],"")</f>
        <v>As A</v>
      </c>
      <c r="D36" s="29" t="s">
        <v>100</v>
      </c>
      <c r="E36" s="17" t="str">
        <f>IF(Table1[[#This Row],[Date Added]]&lt;&gt;"",Table1[[#Headers],[I]],"")</f>
        <v>I</v>
      </c>
      <c r="F36" s="29" t="s">
        <v>58</v>
      </c>
      <c r="G36" s="31" t="str">
        <f>IF(Table1[[#This Row],[Date Added]]&lt;&gt;"",Table1[[#Headers],[be able to]],"")</f>
        <v>be able to</v>
      </c>
      <c r="H36" s="18" t="s">
        <v>75</v>
      </c>
      <c r="I36" s="17" t="str">
        <f>IF(Table1[[#This Row],[Date Added]]&lt;&gt;"",Table1[[#Headers],[So That]],"")</f>
        <v>So That</v>
      </c>
      <c r="J36" s="30" t="s">
        <v>103</v>
      </c>
      <c r="K36" s="20"/>
      <c r="L36" s="19"/>
      <c r="M36" s="21"/>
    </row>
    <row r="37" spans="1:13" ht="16" x14ac:dyDescent="0.2">
      <c r="A37" s="15">
        <v>46211</v>
      </c>
      <c r="B37" s="25" t="s">
        <v>95</v>
      </c>
      <c r="C37" s="17" t="str">
        <f>IF(Table1[[#This Row],[Date Added]]&lt;&gt;"",Table1[[#Headers],[As A]],"")</f>
        <v>As A</v>
      </c>
      <c r="D37" s="29" t="s">
        <v>100</v>
      </c>
      <c r="E37" s="17" t="str">
        <f>IF(Table1[[#This Row],[Date Added]]&lt;&gt;"",Table1[[#Headers],[I]],"")</f>
        <v>I</v>
      </c>
      <c r="F37" s="29" t="s">
        <v>58</v>
      </c>
      <c r="G37" s="31" t="str">
        <f>IF(Table1[[#This Row],[Date Added]]&lt;&gt;"",Table1[[#Headers],[be able to]],"")</f>
        <v>be able to</v>
      </c>
      <c r="H37" s="18" t="s">
        <v>76</v>
      </c>
      <c r="I37" s="17" t="str">
        <f>IF(Table1[[#This Row],[Date Added]]&lt;&gt;"",Table1[[#Headers],[So That]],"")</f>
        <v>So That</v>
      </c>
      <c r="J37" s="30" t="s">
        <v>103</v>
      </c>
      <c r="K37" s="20"/>
      <c r="L37" s="19"/>
      <c r="M37" s="21"/>
    </row>
    <row r="38" spans="1:13" ht="16" x14ac:dyDescent="0.2">
      <c r="A38" s="15">
        <v>46211</v>
      </c>
      <c r="B38" s="25" t="s">
        <v>96</v>
      </c>
      <c r="C38" s="17" t="str">
        <f>IF(Table1[[#This Row],[Date Added]]&lt;&gt;"",Table1[[#Headers],[As A]],"")</f>
        <v>As A</v>
      </c>
      <c r="D38" s="29" t="s">
        <v>100</v>
      </c>
      <c r="E38" s="17" t="str">
        <f>IF(Table1[[#This Row],[Date Added]]&lt;&gt;"",Table1[[#Headers],[I]],"")</f>
        <v>I</v>
      </c>
      <c r="F38" s="29" t="s">
        <v>58</v>
      </c>
      <c r="G38" s="31" t="str">
        <f>IF(Table1[[#This Row],[Date Added]]&lt;&gt;"",Table1[[#Headers],[be able to]],"")</f>
        <v>be able to</v>
      </c>
      <c r="H38" s="18" t="s">
        <v>77</v>
      </c>
      <c r="I38" s="17" t="str">
        <f>IF(Table1[[#This Row],[Date Added]]&lt;&gt;"",Table1[[#Headers],[So That]],"")</f>
        <v>So That</v>
      </c>
      <c r="J38" s="30" t="s">
        <v>102</v>
      </c>
      <c r="K38" s="20"/>
      <c r="L38" s="19"/>
      <c r="M38" s="21"/>
    </row>
    <row r="39" spans="1:13" ht="16" x14ac:dyDescent="0.2">
      <c r="A39" s="15"/>
      <c r="B39" s="25"/>
      <c r="C39" s="17" t="str">
        <f>IF(Table1[[#This Row],[Date Added]]&lt;&gt;"",Table1[[#Headers],[As A]],"")</f>
        <v/>
      </c>
      <c r="D39" s="26"/>
      <c r="E39" s="17" t="str">
        <f>IF(Table1[[#This Row],[Date Added]]&lt;&gt;"",Table1[[#Headers],[I]],"")</f>
        <v/>
      </c>
      <c r="F39" s="29"/>
      <c r="G39" s="31" t="str">
        <f>IF(Table1[[#This Row],[Date Added]]&lt;&gt;"",Table1[[#Headers],[be able to]],"")</f>
        <v/>
      </c>
      <c r="H39" s="18"/>
      <c r="I39" s="17" t="str">
        <f>IF(Table1[[#This Row],[Date Added]]&lt;&gt;"",Table1[[#Headers],[So That]],"")</f>
        <v/>
      </c>
      <c r="J39" s="19"/>
      <c r="K39" s="20"/>
      <c r="L39" s="19"/>
      <c r="M39" s="21"/>
    </row>
    <row r="40" spans="1:13" ht="16" x14ac:dyDescent="0.2">
      <c r="A40" s="15"/>
      <c r="B40" s="27" t="s">
        <v>119</v>
      </c>
      <c r="C40" s="17" t="str">
        <f>IF(Table1[[#This Row],[Date Added]]&lt;&gt;"",Table1[[#Headers],[As A]],"")</f>
        <v/>
      </c>
      <c r="D40" s="18"/>
      <c r="E40" s="17" t="str">
        <f>IF(Table1[[#This Row],[Date Added]]&lt;&gt;"",Table1[[#Headers],[I]],"")</f>
        <v/>
      </c>
      <c r="F40" s="18"/>
      <c r="G40" s="31" t="str">
        <f>IF(Table1[[#This Row],[Date Added]]&lt;&gt;"",Table1[[#Headers],[be able to]],"")</f>
        <v/>
      </c>
      <c r="H40" s="29" t="s">
        <v>83</v>
      </c>
      <c r="I40" s="17" t="str">
        <f>IF(Table1[[#This Row],[Date Added]]&lt;&gt;"",Table1[[#Headers],[So That]],"")</f>
        <v/>
      </c>
      <c r="J40" s="19"/>
      <c r="K40" s="20"/>
      <c r="L40" s="19"/>
      <c r="M40" s="21"/>
    </row>
    <row r="41" spans="1:13" ht="16" x14ac:dyDescent="0.2">
      <c r="A41" s="15">
        <v>46211</v>
      </c>
      <c r="B41" s="27" t="s">
        <v>120</v>
      </c>
      <c r="C41" s="17" t="str">
        <f>IF(Table1[[#This Row],[Date Added]]&lt;&gt;"",Table1[[#Headers],[As A]],"")</f>
        <v>As A</v>
      </c>
      <c r="D41" s="29" t="s">
        <v>100</v>
      </c>
      <c r="E41" s="17" t="str">
        <f>IF(Table1[[#This Row],[Date Added]]&lt;&gt;"",Table1[[#Headers],[I]],"")</f>
        <v>I</v>
      </c>
      <c r="F41" s="29" t="s">
        <v>33</v>
      </c>
      <c r="G41" s="31" t="str">
        <f>IF(Table1[[#This Row],[Date Added]]&lt;&gt;"",Table1[[#Headers],[be able to]],"")</f>
        <v>be able to</v>
      </c>
      <c r="H41" s="29" t="s">
        <v>85</v>
      </c>
      <c r="I41" s="17" t="str">
        <f>IF(Table1[[#This Row],[Date Added]]&lt;&gt;"",Table1[[#Headers],[So That]],"")</f>
        <v>So That</v>
      </c>
      <c r="J41" s="30" t="s">
        <v>84</v>
      </c>
      <c r="K41" s="20"/>
      <c r="L41" s="19"/>
      <c r="M41" s="21"/>
    </row>
    <row r="42" spans="1:13" ht="16" x14ac:dyDescent="0.2">
      <c r="A42" s="15">
        <v>46211</v>
      </c>
      <c r="B42" s="27" t="s">
        <v>121</v>
      </c>
      <c r="C42" s="17" t="str">
        <f>IF(Table1[[#This Row],[Date Added]]&lt;&gt;"",Table1[[#Headers],[As A]],"")</f>
        <v>As A</v>
      </c>
      <c r="D42" s="29" t="s">
        <v>100</v>
      </c>
      <c r="E42" s="17" t="str">
        <f>IF(Table1[[#This Row],[Date Added]]&lt;&gt;"",Table1[[#Headers],[I]],"")</f>
        <v>I</v>
      </c>
      <c r="F42" s="29" t="s">
        <v>33</v>
      </c>
      <c r="G42" s="31" t="str">
        <f>IF(Table1[[#This Row],[Date Added]]&lt;&gt;"",Table1[[#Headers],[be able to]],"")</f>
        <v>be able to</v>
      </c>
      <c r="H42" s="29" t="s">
        <v>88</v>
      </c>
      <c r="I42" s="17" t="str">
        <f>IF(Table1[[#This Row],[Date Added]]&lt;&gt;"",Table1[[#Headers],[So That]],"")</f>
        <v>So That</v>
      </c>
      <c r="J42" s="30" t="s">
        <v>105</v>
      </c>
      <c r="K42" s="20"/>
      <c r="L42" s="19"/>
      <c r="M42" s="21"/>
    </row>
    <row r="43" spans="1:13" ht="16" x14ac:dyDescent="0.2">
      <c r="A43" s="15">
        <v>46211</v>
      </c>
      <c r="B43" s="27" t="s">
        <v>122</v>
      </c>
      <c r="C43" s="17" t="str">
        <f>IF(Table1[[#This Row],[Date Added]]&lt;&gt;"",Table1[[#Headers],[As A]],"")</f>
        <v>As A</v>
      </c>
      <c r="D43" s="29" t="s">
        <v>100</v>
      </c>
      <c r="E43" s="17" t="str">
        <f>IF(Table1[[#This Row],[Date Added]]&lt;&gt;"",Table1[[#Headers],[I]],"")</f>
        <v>I</v>
      </c>
      <c r="F43" s="29" t="s">
        <v>33</v>
      </c>
      <c r="G43" s="31" t="str">
        <f>IF(Table1[[#This Row],[Date Added]]&lt;&gt;"",Table1[[#Headers],[be able to]],"")</f>
        <v>be able to</v>
      </c>
      <c r="H43" s="29" t="s">
        <v>86</v>
      </c>
      <c r="I43" s="17" t="str">
        <f>IF(Table1[[#This Row],[Date Added]]&lt;&gt;"",Table1[[#Headers],[So That]],"")</f>
        <v>So That</v>
      </c>
      <c r="J43" s="30" t="s">
        <v>105</v>
      </c>
      <c r="K43" s="20"/>
      <c r="L43" s="19"/>
      <c r="M43" s="21"/>
    </row>
    <row r="44" spans="1:13" ht="16" x14ac:dyDescent="0.2">
      <c r="A44" s="15">
        <v>46211</v>
      </c>
      <c r="B44" s="27" t="s">
        <v>123</v>
      </c>
      <c r="C44" s="17" t="str">
        <f>IF(Table1[[#This Row],[Date Added]]&lt;&gt;"",Table1[[#Headers],[As A]],"")</f>
        <v>As A</v>
      </c>
      <c r="D44" s="29" t="s">
        <v>100</v>
      </c>
      <c r="E44" s="17" t="str">
        <f>IF(Table1[[#This Row],[Date Added]]&lt;&gt;"",Table1[[#Headers],[I]],"")</f>
        <v>I</v>
      </c>
      <c r="F44" s="29" t="s">
        <v>33</v>
      </c>
      <c r="G44" s="31" t="str">
        <f>IF(Table1[[#This Row],[Date Added]]&lt;&gt;"",Table1[[#Headers],[be able to]],"")</f>
        <v>be able to</v>
      </c>
      <c r="H44" s="29" t="s">
        <v>87</v>
      </c>
      <c r="I44" s="17" t="str">
        <f>IF(Table1[[#This Row],[Date Added]]&lt;&gt;"",Table1[[#Headers],[So That]],"")</f>
        <v>So That</v>
      </c>
      <c r="J44" s="30" t="s">
        <v>106</v>
      </c>
      <c r="K44" s="20"/>
      <c r="L44" s="19"/>
      <c r="M44" s="21"/>
    </row>
    <row r="45" spans="1:13" ht="16" x14ac:dyDescent="0.2">
      <c r="A45" s="15">
        <v>46211</v>
      </c>
      <c r="B45" s="27" t="s">
        <v>124</v>
      </c>
      <c r="C45" s="17" t="str">
        <f>IF(Table1[[#This Row],[Date Added]]&lt;&gt;"",Table1[[#Headers],[As A]],"")</f>
        <v>As A</v>
      </c>
      <c r="D45" s="29" t="s">
        <v>100</v>
      </c>
      <c r="E45" s="17" t="str">
        <f>IF(Table1[[#This Row],[Date Added]]&lt;&gt;"",Table1[[#Headers],[I]],"")</f>
        <v>I</v>
      </c>
      <c r="F45" s="29" t="s">
        <v>58</v>
      </c>
      <c r="G45" s="31" t="str">
        <f>IF(Table1[[#This Row],[Date Added]]&lt;&gt;"",Table1[[#Headers],[be able to]],"")</f>
        <v>be able to</v>
      </c>
      <c r="H45" s="29" t="s">
        <v>89</v>
      </c>
      <c r="I45" s="17" t="str">
        <f>IF(Table1[[#This Row],[Date Added]]&lt;&gt;"",Table1[[#Headers],[So That]],"")</f>
        <v>So That</v>
      </c>
      <c r="J45" s="30" t="s">
        <v>90</v>
      </c>
      <c r="K45" s="32"/>
      <c r="L45" s="30"/>
      <c r="M45" s="33"/>
    </row>
    <row r="46" spans="1:13" ht="16" x14ac:dyDescent="0.2">
      <c r="A46" s="15">
        <v>46211</v>
      </c>
      <c r="B46" s="27" t="s">
        <v>125</v>
      </c>
      <c r="C46" s="17" t="str">
        <f>IF(Table1[[#This Row],[Date Added]]&lt;&gt;"",Table1[[#Headers],[As A]],"")</f>
        <v>As A</v>
      </c>
      <c r="D46" s="29" t="s">
        <v>44</v>
      </c>
      <c r="E46" s="17" t="str">
        <f>IF(Table1[[#This Row],[Date Added]]&lt;&gt;"",Table1[[#Headers],[I]],"")</f>
        <v>I</v>
      </c>
      <c r="F46" s="29" t="s">
        <v>33</v>
      </c>
      <c r="G46" s="31" t="str">
        <f>IF(Table1[[#This Row],[Date Added]]&lt;&gt;"",Table1[[#Headers],[be able to]],"")</f>
        <v>be able to</v>
      </c>
      <c r="H46" s="29" t="s">
        <v>94</v>
      </c>
      <c r="I46" s="17" t="str">
        <f>IF(Table1[[#This Row],[Date Added]]&lt;&gt;"",Table1[[#Headers],[So That]],"")</f>
        <v>So That</v>
      </c>
      <c r="J46" s="30" t="s">
        <v>107</v>
      </c>
      <c r="K46" s="32"/>
      <c r="L46" s="30"/>
      <c r="M46" s="33"/>
    </row>
    <row r="47" spans="1:13" ht="16" x14ac:dyDescent="0.2">
      <c r="A47" s="15">
        <v>46211</v>
      </c>
      <c r="B47" s="27" t="s">
        <v>126</v>
      </c>
      <c r="C47" s="17" t="str">
        <f>IF(Table1[[#This Row],[Date Added]]&lt;&gt;"",Table1[[#Headers],[As A]],"")</f>
        <v>As A</v>
      </c>
      <c r="D47" s="29" t="s">
        <v>44</v>
      </c>
      <c r="E47" s="17" t="str">
        <f>IF(Table1[[#This Row],[Date Added]]&lt;&gt;"",Table1[[#Headers],[I]],"")</f>
        <v>I</v>
      </c>
      <c r="F47" s="29" t="s">
        <v>33</v>
      </c>
      <c r="G47" s="31" t="str">
        <f>IF(Table1[[#This Row],[Date Added]]&lt;&gt;"",Table1[[#Headers],[be able to]],"")</f>
        <v>be able to</v>
      </c>
      <c r="H47" s="29" t="s">
        <v>97</v>
      </c>
      <c r="I47" s="17" t="str">
        <f>IF(Table1[[#This Row],[Date Added]]&lt;&gt;"",Table1[[#Headers],[So That]],"")</f>
        <v>So That</v>
      </c>
      <c r="J47" s="30" t="s">
        <v>107</v>
      </c>
      <c r="K47" s="32"/>
      <c r="L47" s="30"/>
      <c r="M47" s="33"/>
    </row>
    <row r="48" spans="1:13" ht="16" x14ac:dyDescent="0.2">
      <c r="A48" s="15">
        <v>46211</v>
      </c>
      <c r="B48" s="27" t="s">
        <v>127</v>
      </c>
      <c r="C48" s="17" t="str">
        <f>IF(Table1[[#This Row],[Date Added]]&lt;&gt;"",Table1[[#Headers],[As A]],"")</f>
        <v>As A</v>
      </c>
      <c r="D48" s="29" t="s">
        <v>44</v>
      </c>
      <c r="E48" s="17" t="str">
        <f>IF(Table1[[#This Row],[Date Added]]&lt;&gt;"",Table1[[#Headers],[I]],"")</f>
        <v>I</v>
      </c>
      <c r="F48" s="29" t="s">
        <v>33</v>
      </c>
      <c r="G48" s="31" t="str">
        <f>IF(Table1[[#This Row],[Date Added]]&lt;&gt;"",Table1[[#Headers],[be able to]],"")</f>
        <v>be able to</v>
      </c>
      <c r="H48" s="29" t="s">
        <v>98</v>
      </c>
      <c r="I48" s="17" t="str">
        <f>IF(Table1[[#This Row],[Date Added]]&lt;&gt;"",Table1[[#Headers],[So That]],"")</f>
        <v>So That</v>
      </c>
      <c r="J48" s="30" t="s">
        <v>107</v>
      </c>
      <c r="K48" s="32"/>
      <c r="L48" s="30"/>
      <c r="M48" s="33"/>
    </row>
    <row r="49" spans="1:13" ht="16" x14ac:dyDescent="0.2">
      <c r="A49" s="15">
        <v>46211</v>
      </c>
      <c r="B49" s="27" t="s">
        <v>128</v>
      </c>
      <c r="C49" s="17" t="str">
        <f>IF(Table1[[#This Row],[Date Added]]&lt;&gt;"",Table1[[#Headers],[As A]],"")</f>
        <v>As A</v>
      </c>
      <c r="D49" s="29" t="s">
        <v>44</v>
      </c>
      <c r="E49" s="17" t="str">
        <f>IF(Table1[[#This Row],[Date Added]]&lt;&gt;"",Table1[[#Headers],[I]],"")</f>
        <v>I</v>
      </c>
      <c r="F49" s="29" t="s">
        <v>33</v>
      </c>
      <c r="G49" s="31" t="str">
        <f>IF(Table1[[#This Row],[Date Added]]&lt;&gt;"",Table1[[#Headers],[be able to]],"")</f>
        <v>be able to</v>
      </c>
      <c r="H49" s="29" t="s">
        <v>99</v>
      </c>
      <c r="I49" s="17" t="str">
        <f>IF(Table1[[#This Row],[Date Added]]&lt;&gt;"",Table1[[#Headers],[So That]],"")</f>
        <v>So That</v>
      </c>
      <c r="J49" s="30" t="s">
        <v>107</v>
      </c>
      <c r="K49" s="32"/>
      <c r="L49" s="30"/>
      <c r="M49" s="33"/>
    </row>
    <row r="50" spans="1:13" ht="16" x14ac:dyDescent="0.2">
      <c r="A50" s="15"/>
      <c r="B50" s="27"/>
      <c r="C50" s="17" t="str">
        <f>IF(Table1[[#This Row],[Date Added]]&lt;&gt;"",Table1[[#Headers],[As A]],"")</f>
        <v/>
      </c>
      <c r="D50" s="29"/>
      <c r="E50" s="17" t="str">
        <f>IF(Table1[[#This Row],[Date Added]]&lt;&gt;"",Table1[[#Headers],[I]],"")</f>
        <v/>
      </c>
      <c r="F50" s="29"/>
      <c r="G50" s="31" t="str">
        <f>IF(Table1[[#This Row],[Date Added]]&lt;&gt;"",Table1[[#Headers],[be able to]],"")</f>
        <v/>
      </c>
      <c r="H50" s="29"/>
      <c r="I50" s="17" t="str">
        <f>IF(Table1[[#This Row],[Date Added]]&lt;&gt;"",Table1[[#Headers],[So That]],"")</f>
        <v/>
      </c>
      <c r="J50" s="30"/>
      <c r="K50" s="32"/>
      <c r="L50" s="30"/>
      <c r="M50" s="33"/>
    </row>
    <row r="51" spans="1:13" x14ac:dyDescent="0.2">
      <c r="A51" s="22" t="s">
        <v>59</v>
      </c>
    </row>
    <row r="52" spans="1:13" x14ac:dyDescent="0.2">
      <c r="A52" s="23" t="s">
        <v>60</v>
      </c>
      <c r="B52" s="24" t="s">
        <v>61</v>
      </c>
    </row>
    <row r="53" spans="1:13" x14ac:dyDescent="0.2">
      <c r="B53" s="24" t="s">
        <v>62</v>
      </c>
    </row>
    <row r="54" spans="1:13" x14ac:dyDescent="0.2">
      <c r="B54" s="24" t="s">
        <v>63</v>
      </c>
    </row>
  </sheetData>
  <sortState xmlns:xlrd2="http://schemas.microsoft.com/office/spreadsheetml/2017/richdata2" ref="A7:K15">
    <sortCondition ref="A5"/>
  </sortState>
  <mergeCells count="18">
    <mergeCell ref="A8:J8"/>
    <mergeCell ref="K8:L8"/>
    <mergeCell ref="B3:F3"/>
    <mergeCell ref="L3:M3"/>
    <mergeCell ref="A5:A6"/>
    <mergeCell ref="B5:F5"/>
    <mergeCell ref="G5:H5"/>
    <mergeCell ref="I5:J5"/>
    <mergeCell ref="K5:M5"/>
    <mergeCell ref="B6:F6"/>
    <mergeCell ref="G6:H6"/>
    <mergeCell ref="I6:J6"/>
    <mergeCell ref="K6:M6"/>
    <mergeCell ref="A1:C1"/>
    <mergeCell ref="D1:J1"/>
    <mergeCell ref="K1:M1"/>
    <mergeCell ref="B2:H2"/>
    <mergeCell ref="L2:M2"/>
  </mergeCells>
  <phoneticPr fontId="14" type="noConversion"/>
  <conditionalFormatting sqref="B10:B23 B28:B34 B36:B50">
    <cfRule type="expression" dxfId="11" priority="2" stopIfTrue="1">
      <formula>OR($B9="ID",NOT(IFERROR(FIND(".",$B10),0)))</formula>
    </cfRule>
  </conditionalFormatting>
  <conditionalFormatting sqref="B24">
    <cfRule type="expression" dxfId="10" priority="19" stopIfTrue="1">
      <formula>OR($B22="ID",NOT(IFERROR(FIND(".",$B24),0)))</formula>
    </cfRule>
  </conditionalFormatting>
  <conditionalFormatting sqref="B25">
    <cfRule type="expression" dxfId="9" priority="37" stopIfTrue="1">
      <formula>OR($B22="ID",NOT(IFERROR(FIND(".",$B25),0)))</formula>
    </cfRule>
  </conditionalFormatting>
  <conditionalFormatting sqref="B26 B35">
    <cfRule type="expression" dxfId="8" priority="10" stopIfTrue="1">
      <formula>OR($B22="ID",NOT(IFERROR(FIND(".",$B26),0)))</formula>
    </cfRule>
  </conditionalFormatting>
  <conditionalFormatting sqref="B27">
    <cfRule type="expression" dxfId="7" priority="57" stopIfTrue="1">
      <formula>OR($B22="ID",NOT(IFERROR(FIND(".",$B27),0)))</formula>
    </cfRule>
  </conditionalFormatting>
  <conditionalFormatting sqref="F10:F50">
    <cfRule type="cellIs" dxfId="6" priority="3" stopIfTrue="1" operator="equal">
      <formula>"Won't"</formula>
    </cfRule>
    <cfRule type="containsText" dxfId="5" priority="4" stopIfTrue="1" operator="containsText" text="Would">
      <formula>NOT(ISERROR(SEARCH("Would",F10)))</formula>
    </cfRule>
    <cfRule type="containsText" dxfId="4" priority="5" stopIfTrue="1" operator="containsText" text="Wish">
      <formula>NOT(ISERROR(SEARCH("Wish",F10)))</formula>
    </cfRule>
    <cfRule type="containsText" dxfId="3" priority="6" stopIfTrue="1" operator="containsText" text="Could">
      <formula>NOT(ISERROR(SEARCH("Could",F10)))</formula>
    </cfRule>
    <cfRule type="containsText" dxfId="2" priority="7" stopIfTrue="1" operator="containsText" text="Should">
      <formula>NOT(ISERROR(SEARCH("Should",F10)))</formula>
    </cfRule>
    <cfRule type="containsText" dxfId="1" priority="8" stopIfTrue="1" operator="containsText" text="Must">
      <formula>NOT(ISERROR(SEARCH("Must",F10)))</formula>
    </cfRule>
  </conditionalFormatting>
  <conditionalFormatting sqref="H9:H50">
    <cfRule type="expression" dxfId="0" priority="1">
      <formula>OR($H8="Feature Description",$H8="")</formula>
    </cfRule>
  </conditionalFormatting>
  <hyperlinks>
    <hyperlink ref="J3" r:id="rId1" xr:uid="{00000000-0004-0000-0000-000000000000}"/>
  </hyperlinks>
  <pageMargins left="0.23622047244094491" right="0.23622047244094491" top="0.74803149606299213" bottom="0.74803149606299213" header="0.31496062992125984" footer="0.31496062992125984"/>
  <pageSetup paperSize="8" scale="58" fitToHeight="0" orientation="landscape"/>
  <headerFooter>
    <oddHeader>&amp;C&amp;"Calibri"&amp;10&amp;KFF0000 OFFICIAL&amp;1#_x000D_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79478631CDD44835F063507A68C7C" ma:contentTypeVersion="5" ma:contentTypeDescription="Create a new document." ma:contentTypeScope="" ma:versionID="ab65567a022fb127b02ef4cc56210864">
  <xsd:schema xmlns:xsd="http://www.w3.org/2001/XMLSchema" xmlns:xs="http://www.w3.org/2001/XMLSchema" xmlns:p="http://schemas.microsoft.com/office/2006/metadata/properties" xmlns:ns3="a02203c3-b4ad-46c2-9cc6-afa11feeea88" xmlns:ns4="aa607228-e39b-4d1c-8048-bb18041aeaf5" targetNamespace="http://schemas.microsoft.com/office/2006/metadata/properties" ma:root="true" ma:fieldsID="2c5a07e74fe33fe960b1997079e11a0e" ns3:_="" ns4:_="">
    <xsd:import namespace="a02203c3-b4ad-46c2-9cc6-afa11feeea88"/>
    <xsd:import namespace="aa607228-e39b-4d1c-8048-bb18041aeaf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203c3-b4ad-46c2-9cc6-afa11feeea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07228-e39b-4d1c-8048-bb18041aea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59DF54-F414-4C1B-8C3F-05B3656107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2203c3-b4ad-46c2-9cc6-afa11feeea88"/>
    <ds:schemaRef ds:uri="aa607228-e39b-4d1c-8048-bb18041aea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7613D5F5-5EB0-407E-B782-9959C146FFAA}">
  <ds:schemaRefs>
    <ds:schemaRef ds:uri="http://schemas.microsoft.com/office/2006/metadata/properties"/>
    <ds:schemaRef ds:uri="http://schemas.microsoft.com/office/infopath/2007/PartnerControls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D5A8649F-FD24-46DB-A27D-38A93413A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User Stories (MoSCoW)</vt:lpstr>
      <vt:lpstr>'User Stories (MoSCoW)'!Print_Area</vt:lpstr>
      <vt:lpstr>'User Stories (MoSCoW)'!Print_Titles</vt:lpstr>
    </vt:vector>
  </TitlesOfParts>
  <Manager/>
  <Company>Polytechnic West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Gould, Adrian</dc:creator>
  <cp:keywords/>
  <dc:description>Improvements suggested by F.McLennan</dc:description>
  <cp:lastModifiedBy>Adrian Gould</cp:lastModifiedBy>
  <cp:revision>1</cp:revision>
  <dcterms:created xsi:type="dcterms:W3CDTF">2016-10-19T00:52:57Z</dcterms:created>
  <dcterms:modified xsi:type="dcterms:W3CDTF">2026-07-22T04:11:27Z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0x0101005B279478631CDD44835F063507A68C7C</vt:lpwstr>
  </property>
  <property fmtid="{D5CDD505-2E9C-101B-9397-08002B2CF9AE}" pid="3" name="MSIP_Label_f3ac7e5b-5da2-46c7-8677-8a6b50f7d886_Enabled">
    <vt:lpwstr>true</vt:lpwstr>
  </property>
  <property fmtid="{D5CDD505-2E9C-101B-9397-08002B2CF9AE}" pid="4" name="MSIP_Label_f3ac7e5b-5da2-46c7-8677-8a6b50f7d886_SetDate">
    <vt:lpwstr>2024-05-08T01:01:40Z</vt:lpwstr>
  </property>
  <property fmtid="{D5CDD505-2E9C-101B-9397-08002B2CF9AE}" pid="5" name="MSIP_Label_f3ac7e5b-5da2-46c7-8677-8a6b50f7d886_Method">
    <vt:lpwstr>Standard</vt:lpwstr>
  </property>
  <property fmtid="{D5CDD505-2E9C-101B-9397-08002B2CF9AE}" pid="6" name="MSIP_Label_f3ac7e5b-5da2-46c7-8677-8a6b50f7d886_Name">
    <vt:lpwstr>Official</vt:lpwstr>
  </property>
  <property fmtid="{D5CDD505-2E9C-101B-9397-08002B2CF9AE}" pid="7" name="MSIP_Label_f3ac7e5b-5da2-46c7-8677-8a6b50f7d886_SiteId">
    <vt:lpwstr>218881e8-07ad-4142-87d7-f6b90d17009b</vt:lpwstr>
  </property>
  <property fmtid="{D5CDD505-2E9C-101B-9397-08002B2CF9AE}" pid="8" name="MSIP_Label_f3ac7e5b-5da2-46c7-8677-8a6b50f7d886_ActionId">
    <vt:lpwstr>13f7ab2f-ebd6-4ad9-b624-de74b6207ee5</vt:lpwstr>
  </property>
  <property fmtid="{D5CDD505-2E9C-101B-9397-08002B2CF9AE}" pid="9" name="MSIP_Label_f3ac7e5b-5da2-46c7-8677-8a6b50f7d886_ContentBits">
    <vt:lpwstr>1</vt:lpwstr>
  </property>
</Properties>
</file>